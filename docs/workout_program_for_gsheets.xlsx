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個人資料" sheetId="2" state="visible" r:id="rId2"/>
    <sheet name="每日儀表板" sheetId="3" state="visible" r:id="rId3"/>
    <sheet name="重量速查" sheetId="4" state="visible" r:id="rId4"/>
    <sheet name="Day 1 推" sheetId="5" state="visible" r:id="rId5"/>
    <sheet name="Day 2 腿A" sheetId="6" state="visible" r:id="rId6"/>
    <sheet name="Day 4 拉" sheetId="7" state="visible" r:id="rId7"/>
    <sheet name="Day 5 腿B" sheetId="8" state="visible" r:id="rId8"/>
    <sheet name="方案A 全身" sheetId="9" state="visible" r:id="rId9"/>
    <sheet name="Readiness" sheetId="10" state="visible" r:id="rId10"/>
    <sheet name="營養目標" sheetId="11" state="visible" r:id="rId11"/>
    <sheet name="食物範例" sheetId="12" state="visible" r:id="rId12"/>
    <sheet name="4週檢核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1F4E78"/>
      <sz val="11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70C0"/>
      <sz val="11"/>
    </font>
    <font>
      <name val="Arial"/>
      <color rgb="00008000"/>
      <sz val="11"/>
    </font>
    <font>
      <name val="Arial"/>
      <b val="1"/>
      <color rgb="00FFFFFF"/>
      <sz val="11"/>
    </font>
    <font>
      <name val="Arial"/>
      <i val="1"/>
      <color rgb="00595959"/>
      <sz val="9"/>
    </font>
    <font>
      <name val="Arial"/>
      <b val="1"/>
      <color rgb="000070C0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medium">
        <color rgb="001F4E78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60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健身課表（實作版） — 科學增肌減脂藍圖</t>
        </is>
      </c>
    </row>
    <row r="2">
      <c r="A2" s="2" t="inlineStr">
        <is>
          <t>基於 NotebookLM Report 設計｜對象：男 / 90 kg / 中階 / Body Recomp</t>
        </is>
      </c>
    </row>
    <row r="3"/>
    <row r="4" ht="22" customHeight="1">
      <c r="A4" s="3" t="inlineStr">
        <is>
          <t>■ 使用流程</t>
        </is>
      </c>
    </row>
    <row r="5">
      <c r="A5" s="4" t="inlineStr">
        <is>
          <t>1.</t>
        </is>
      </c>
      <c r="B5" s="4" t="inlineStr">
        <is>
          <t>個人資料</t>
        </is>
      </c>
      <c r="C5" s="5" t="inlineStr">
        <is>
          <t>更新體重與 1RM（黃底藍字為輸入欄）。所有重量會自動重算。</t>
        </is>
      </c>
    </row>
    <row r="6">
      <c r="A6" s="4" t="inlineStr">
        <is>
          <t>2.</t>
        </is>
      </c>
      <c r="B6" s="4" t="inlineStr">
        <is>
          <t>重量速查</t>
        </is>
      </c>
      <c r="C6" s="5" t="inlineStr">
        <is>
          <t>查表式對照各動作在 70/72/75/77.5/80% 1RM 的目標重量（已四捨五入到 2.5kg）。</t>
        </is>
      </c>
    </row>
    <row r="7">
      <c r="A7" s="4" t="inlineStr">
        <is>
          <t>3.</t>
        </is>
      </c>
      <c r="B7" s="4" t="inlineStr">
        <is>
          <t>Day 1 ~ Day 5</t>
        </is>
      </c>
      <c r="C7" s="5" t="inlineStr">
        <is>
          <t>依日訓練。先看『目標 kg / RPE』，再把實際完成的『組1~組4』填進去。</t>
        </is>
      </c>
    </row>
    <row r="8">
      <c r="A8" s="4" t="inlineStr">
        <is>
          <t>4.</t>
        </is>
      </c>
      <c r="B8" s="4" t="inlineStr">
        <is>
          <t>方案 A 全身備援</t>
        </is>
      </c>
      <c r="C8" s="5" t="inlineStr">
        <is>
          <t>出差/減載/生病康復週改用，2-3 次/週即可達標。</t>
        </is>
      </c>
    </row>
    <row r="9">
      <c r="A9" s="4" t="inlineStr">
        <is>
          <t>5.</t>
        </is>
      </c>
      <c r="B9" s="4" t="inlineStr">
        <is>
          <t>Readiness 自評</t>
        </is>
      </c>
      <c r="C9" s="5" t="inlineStr">
        <is>
          <t>晨起 1 分鐘填 4 項，總分 &lt;14 強制降強度或主動恢復。</t>
        </is>
      </c>
    </row>
    <row r="10">
      <c r="A10" s="4" t="inlineStr">
        <is>
          <t>6.</t>
        </is>
      </c>
      <c r="B10" s="4" t="inlineStr">
        <is>
          <t>營養目標 / 追蹤</t>
        </is>
      </c>
      <c r="C10" s="5" t="inlineStr">
        <is>
          <t>目標每日 P 180g / F 80g / C 327g（訓練日 350g，休息日 280g）。</t>
        </is>
      </c>
    </row>
    <row r="11">
      <c r="A11" s="4" t="inlineStr">
        <is>
          <t>7.</t>
        </is>
      </c>
      <c r="B11" s="4" t="inlineStr">
        <is>
          <t>食物範例</t>
        </is>
      </c>
      <c r="C11" s="5" t="inlineStr">
        <is>
          <t>速查蛋白質食物份量，輔助達標。</t>
        </is>
      </c>
    </row>
    <row r="12">
      <c r="A12" s="4" t="inlineStr">
        <is>
          <t>8.</t>
        </is>
      </c>
      <c r="B12" s="4" t="inlineStr">
        <is>
          <t>4 週檢核</t>
        </is>
      </c>
      <c r="C12" s="5" t="inlineStr">
        <is>
          <t>每週末勾選里程碑，第 4 週末重測 1RM 校正課表。</t>
        </is>
      </c>
    </row>
    <row r="13">
      <c r="A13" s="22" t="inlineStr">
        <is>
          <t>★</t>
        </is>
      </c>
      <c r="B13" s="22" t="inlineStr">
        <is>
          <t>每日儀表板</t>
        </is>
      </c>
      <c r="C13" s="23" t="inlineStr">
        <is>
          <t>一頁紀錄訓練 + 飲食 + Readiness + 體重，自動算 ACWR 與週彙總。建議每天從這頁開始填。</t>
        </is>
      </c>
    </row>
    <row r="14" ht="22" customHeight="1"/>
    <row r="15">
      <c r="A15" s="3" t="inlineStr">
        <is>
          <t>■ 圖例（Color Code）</t>
        </is>
      </c>
    </row>
    <row r="16">
      <c r="B16" s="6" t="inlineStr">
        <is>
          <t>黃底藍字</t>
        </is>
      </c>
      <c r="C16" s="5" t="inlineStr">
        <is>
          <t>輸入欄 — 由你填入</t>
        </is>
      </c>
    </row>
    <row r="17">
      <c r="B17" s="7" t="inlineStr">
        <is>
          <t>綠字</t>
        </is>
      </c>
      <c r="C17" s="5" t="inlineStr">
        <is>
          <t>跨工作表連結 — 自動從『個人資料』拉數</t>
        </is>
      </c>
    </row>
    <row r="18">
      <c r="B18" s="8" t="inlineStr">
        <is>
          <t>黑字</t>
        </is>
      </c>
      <c r="C18" s="5" t="inlineStr">
        <is>
          <t>公式計算 — 請勿覆寫</t>
        </is>
      </c>
    </row>
    <row r="19">
      <c r="B19" s="9" t="inlineStr">
        <is>
          <t>橘底</t>
        </is>
      </c>
      <c r="C19" s="5" t="inlineStr">
        <is>
          <t>提醒 / 警告</t>
        </is>
      </c>
    </row>
    <row r="20"/>
    <row r="21" ht="22" customHeight="1"/>
    <row r="22">
      <c r="A22" s="3" t="inlineStr">
        <is>
          <t>■ 核心訓練原則（Report 摘要）</t>
        </is>
      </c>
    </row>
    <row r="23">
      <c r="B23" s="10" t="inlineStr">
        <is>
          <t>• 強度區間 70-80% 1RM 才能徵召第二型快縮肌（攔截肌少症 / 驅動肥大）</t>
        </is>
      </c>
    </row>
    <row r="24">
      <c r="B24" s="10" t="inlineStr">
        <is>
          <t>• 全程幅度（Full ROM）優於半程</t>
        </is>
      </c>
    </row>
    <row r="25">
      <c r="B25" s="10" t="inlineStr">
        <is>
          <t>• PPL / 上下肢分割，同肌群 48-72hr 修復窗</t>
        </is>
      </c>
    </row>
    <row r="26">
      <c r="B26" s="10" t="inlineStr">
        <is>
          <t>• RPE 監控：常態 7-8，主肌群可推至 8.5-9，禁長期 10</t>
        </is>
      </c>
    </row>
    <row r="27">
      <c r="B27" s="10" t="inlineStr">
        <is>
          <t>• ACWR 控管：當週負荷 / 過去 4 週平均，控在 0.8-1.3，&gt;1.3 強制 deload</t>
        </is>
      </c>
    </row>
    <row r="28">
      <c r="B28" s="10" t="inlineStr">
        <is>
          <t>• 高品質睡眠（DLMO 同步、避藍光）= 褪黑激素 = 修復引擎</t>
        </is>
      </c>
    </row>
  </sheetData>
  <mergeCells count="11">
    <mergeCell ref="A2:F2"/>
    <mergeCell ref="B24:F24"/>
    <mergeCell ref="A14:F14"/>
    <mergeCell ref="A1:F1"/>
    <mergeCell ref="B25:F25"/>
    <mergeCell ref="B23:F23"/>
    <mergeCell ref="A4:F4"/>
    <mergeCell ref="B22:F22"/>
    <mergeCell ref="A21:F21"/>
    <mergeCell ref="B26:F26"/>
    <mergeCell ref="B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40" customWidth="1" min="5" max="5"/>
  </cols>
  <sheetData>
    <row r="1" ht="28" customHeight="1">
      <c r="A1" s="1" t="inlineStr">
        <is>
          <t>個人資料 &amp; 1RM 估算</t>
        </is>
      </c>
    </row>
    <row r="2">
      <c r="A2" s="2" t="inlineStr">
        <is>
          <t>更新黃色輸入欄；所有訓練日的目標重量會自動重算。</t>
        </is>
      </c>
    </row>
    <row r="4" ht="22" customHeight="1">
      <c r="A4" s="3" t="inlineStr">
        <is>
          <t>■ 基本身體資料</t>
        </is>
      </c>
    </row>
    <row r="5">
      <c r="B5" s="4" t="inlineStr">
        <is>
          <t>身高 (cm)</t>
        </is>
      </c>
      <c r="C5" s="6" t="n">
        <v>175</v>
      </c>
      <c r="E5" s="11" t="inlineStr">
        <is>
          <t>用於估算 BMR</t>
        </is>
      </c>
    </row>
    <row r="6">
      <c r="B6" s="4" t="inlineStr">
        <is>
          <t>體重 (kg)</t>
        </is>
      </c>
      <c r="C6" s="6" t="n">
        <v>90</v>
      </c>
      <c r="E6" s="11" t="inlineStr">
        <is>
          <t>中點估值；實際 89-91</t>
        </is>
      </c>
    </row>
    <row r="7">
      <c r="B7" s="4" t="inlineStr">
        <is>
          <t>年齡</t>
        </is>
      </c>
      <c r="C7" s="6" t="n">
        <v>30</v>
      </c>
      <c r="E7" s="11" t="inlineStr">
        <is>
          <t>估值；請更新</t>
        </is>
      </c>
    </row>
    <row r="8">
      <c r="B8" s="4" t="inlineStr">
        <is>
          <t>性別</t>
        </is>
      </c>
      <c r="C8" s="6" t="inlineStr">
        <is>
          <t>男</t>
        </is>
      </c>
      <c r="E8" s="11" t="inlineStr">
        <is>
          <t>M / F</t>
        </is>
      </c>
    </row>
    <row r="9">
      <c r="B9" s="4" t="inlineStr">
        <is>
          <t>活動係數</t>
        </is>
      </c>
      <c r="C9" s="6" t="n">
        <v>1.55</v>
      </c>
      <c r="E9" s="11" t="inlineStr">
        <is>
          <t>1.2 久坐 / 1.375 輕活動 / 1.55 中度（含訓練 3-5 次）/ 1.725 高度</t>
        </is>
      </c>
    </row>
    <row r="10">
      <c r="B10" s="4" t="inlineStr">
        <is>
          <t>訓練年資</t>
        </is>
      </c>
      <c r="C10" s="6" t="inlineStr">
        <is>
          <t>中階</t>
        </is>
      </c>
      <c r="E10" s="11" t="inlineStr">
        <is>
          <t>初學 / 中階 / 進階</t>
        </is>
      </c>
    </row>
    <row r="12" ht="22" customHeight="1">
      <c r="A12" s="3" t="inlineStr">
        <is>
          <t>■ 主要動作 1RM（估算值；第 1 週試重後請更新）</t>
        </is>
      </c>
    </row>
    <row r="13" ht="32" customHeight="1">
      <c r="A13" s="12" t="inlineStr">
        <is>
          <t>#</t>
        </is>
      </c>
      <c r="B13" s="12" t="inlineStr">
        <is>
          <t>動作</t>
        </is>
      </c>
      <c r="C13" s="12" t="inlineStr">
        <is>
          <t>1RM (kg)</t>
        </is>
      </c>
      <c r="D13" s="12" t="inlineStr">
        <is>
          <t>本系統估值對應</t>
        </is>
      </c>
      <c r="E13" s="12" t="inlineStr">
        <is>
          <t>備註</t>
        </is>
      </c>
    </row>
    <row r="14">
      <c r="A14" s="8" t="n">
        <v>1</v>
      </c>
      <c r="B14" s="5" t="inlineStr">
        <is>
          <t>槓鈴平板臥推</t>
        </is>
      </c>
      <c r="C14" s="6" t="n">
        <v>95</v>
      </c>
      <c r="D14" s="13" t="inlineStr">
        <is>
          <t>≈ 1.05× BW</t>
        </is>
      </c>
      <c r="E14" s="11" t="inlineStr">
        <is>
          <t>中階男平均區間 1.0-1.25× BW</t>
        </is>
      </c>
    </row>
    <row r="15">
      <c r="A15" s="8" t="n">
        <v>2</v>
      </c>
      <c r="B15" s="5" t="inlineStr">
        <is>
          <t>槓鈴背蹲（高槓）</t>
        </is>
      </c>
      <c r="C15" s="6" t="n">
        <v>115</v>
      </c>
      <c r="D15" s="13" t="inlineStr">
        <is>
          <t>≈ 1.28× BW</t>
        </is>
      </c>
      <c r="E15" s="11" t="inlineStr">
        <is>
          <t>1.25-1.5× BW</t>
        </is>
      </c>
    </row>
    <row r="16">
      <c r="A16" s="8" t="n">
        <v>3</v>
      </c>
      <c r="B16" s="5" t="inlineStr">
        <is>
          <t>傳統硬舉</t>
        </is>
      </c>
      <c r="C16" s="6" t="n">
        <v>140</v>
      </c>
      <c r="D16" s="13" t="inlineStr">
        <is>
          <t>≈ 1.56× BW</t>
        </is>
      </c>
      <c r="E16" s="11" t="inlineStr">
        <is>
          <t>1.5-1.75× BW</t>
        </is>
      </c>
    </row>
    <row r="17">
      <c r="A17" s="8" t="n">
        <v>4</v>
      </c>
      <c r="B17" s="5" t="inlineStr">
        <is>
          <t>槓鈴肩推（坐姿）</t>
        </is>
      </c>
      <c r="C17" s="6" t="n">
        <v>60</v>
      </c>
      <c r="D17" s="13" t="inlineStr">
        <is>
          <t>≈ 0.67× BW</t>
        </is>
      </c>
      <c r="E17" s="11" t="inlineStr">
        <is>
          <t>0.65-0.85× BW</t>
        </is>
      </c>
    </row>
    <row r="18">
      <c r="A18" s="8" t="n">
        <v>5</v>
      </c>
      <c r="B18" s="5" t="inlineStr">
        <is>
          <t>槓鈴俯身划船</t>
        </is>
      </c>
      <c r="C18" s="6" t="n">
        <v>90</v>
      </c>
      <c r="D18" s="13" t="inlineStr">
        <is>
          <t>≈ 1.00× BW</t>
        </is>
      </c>
      <c r="E18" s="11" t="inlineStr">
        <is>
          <t>1.0-1.2× BW</t>
        </is>
      </c>
    </row>
    <row r="19">
      <c r="A19" s="8" t="n">
        <v>6</v>
      </c>
      <c r="B19" s="5" t="inlineStr">
        <is>
          <t>前蹲</t>
        </is>
      </c>
      <c r="C19" s="6" t="n">
        <v>95</v>
      </c>
      <c r="D19" s="13" t="inlineStr">
        <is>
          <t>≈ 0.83× 背蹲</t>
        </is>
      </c>
      <c r="E19" s="11" t="inlineStr">
        <is>
          <t>前蹲約背蹲 80-85%</t>
        </is>
      </c>
    </row>
    <row r="20">
      <c r="A20" s="8" t="n">
        <v>7</v>
      </c>
      <c r="B20" s="5" t="inlineStr">
        <is>
          <t>羅馬尼亞硬舉</t>
        </is>
      </c>
      <c r="C20" s="6" t="n">
        <v>115</v>
      </c>
      <c r="D20" s="13" t="inlineStr">
        <is>
          <t>≈ 0.82× 硬舉</t>
        </is>
      </c>
      <c r="E20" s="11" t="inlineStr">
        <is>
          <t>RDL 約硬舉 75-85%</t>
        </is>
      </c>
    </row>
    <row r="21">
      <c r="A21" s="8" t="n">
        <v>8</v>
      </c>
      <c r="B21" s="5" t="inlineStr">
        <is>
          <t>槓鈴髖推</t>
        </is>
      </c>
      <c r="C21" s="6" t="n">
        <v>145</v>
      </c>
      <c r="D21" s="13" t="inlineStr">
        <is>
          <t>≈ 1.61× BW</t>
        </is>
      </c>
      <c r="E21" s="11" t="inlineStr">
        <is>
          <t>1.5-2× BW</t>
        </is>
      </c>
    </row>
    <row r="22">
      <c r="A22" s="8" t="n">
        <v>9</v>
      </c>
      <c r="B22" s="5" t="inlineStr">
        <is>
          <t>引體向上（含加重）</t>
        </is>
      </c>
      <c r="C22" s="6" t="n">
        <v>90</v>
      </c>
      <c r="D22" s="13">
        <f> BW + 0kg</f>
        <v/>
      </c>
      <c r="E22" s="11" t="inlineStr">
        <is>
          <t>可做 5-10 下嚴格 ≈ 1RM = BW</t>
        </is>
      </c>
    </row>
    <row r="23">
      <c r="A23" s="8" t="n">
        <v>10</v>
      </c>
      <c r="B23" s="5" t="inlineStr">
        <is>
          <t>雙槓撐體（含加重）</t>
        </is>
      </c>
      <c r="C23" s="6" t="n">
        <v>90</v>
      </c>
      <c r="D23" s="13">
        <f> BW + 0kg</f>
        <v/>
      </c>
      <c r="E23" s="11" t="inlineStr">
        <is>
          <t>可做 6-12 下嚴格 ≈ 1RM = BW</t>
        </is>
      </c>
    </row>
    <row r="26" ht="22" customHeight="1">
      <c r="A26" s="3" t="inlineStr">
        <is>
          <t>■ 1RM 校正方法（第 1 週後使用）</t>
        </is>
      </c>
    </row>
    <row r="27">
      <c r="B27" s="10" t="inlineStr">
        <is>
          <t>方法 1 — RPE 反推：用某個重量做到 RPE 8（剩 2 下保留量），公式：</t>
        </is>
      </c>
    </row>
    <row r="28">
      <c r="B28" s="10" t="inlineStr">
        <is>
          <t xml:space="preserve">         1RM ≈ 完成重量 ÷ (1.0278 − 0.0278 × 完成次數)</t>
        </is>
      </c>
    </row>
    <row r="29">
      <c r="B29" s="10" t="inlineStr">
        <is>
          <t xml:space="preserve">         例：80kg × 8 下 RPE 8 → 1RM ≈ 80 / 0.806 ≈ 99kg</t>
        </is>
      </c>
    </row>
    <row r="30">
      <c r="B30" s="10" t="inlineStr">
        <is>
          <t>方法 2 — 5RM 試重：找一個能勉強做 5 下的重量。1RM ≈ 5RM × 1.15</t>
        </is>
      </c>
    </row>
    <row r="31">
      <c r="B31" s="10" t="inlineStr">
        <is>
          <t>方法 3 — Epley 公式：1RM ≈ 重量 × (1 + 次數/30)</t>
        </is>
      </c>
    </row>
  </sheetData>
  <mergeCells count="10">
    <mergeCell ref="B31:E31"/>
    <mergeCell ref="A12:E12"/>
    <mergeCell ref="A4:E4"/>
    <mergeCell ref="B27:E27"/>
    <mergeCell ref="A26:E26"/>
    <mergeCell ref="A2:E2"/>
    <mergeCell ref="B30:E30"/>
    <mergeCell ref="B29:E29"/>
    <mergeCell ref="A1:E1"/>
    <mergeCell ref="B28:E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11" customWidth="1" min="11" max="11"/>
    <col width="11" customWidth="1" min="12" max="12"/>
    <col width="10" customWidth="1" min="13" max="13"/>
    <col width="10" customWidth="1" min="14" max="14"/>
    <col width="8" customWidth="1" min="15" max="15"/>
    <col width="10" customWidth="1" min="16" max="16"/>
    <col width="22" customWidth="1" min="17" max="17"/>
  </cols>
  <sheetData>
    <row r="1" ht="28" customHeight="1">
      <c r="A1" s="1" t="inlineStr">
        <is>
          <t>每日訓練 + 飲食合併追蹤儀表板</t>
        </is>
      </c>
    </row>
    <row r="2">
      <c r="A2" s="24" t="inlineStr">
        <is>
          <t>每天 1 分鐘填一列；K、L、M、N、O 欄自動算。連續 3 日狀態 ✗ → 強制 Deload。目標：訓練日 2866 kcal / 休息日 2666 kcal / 蛋白質 180g</t>
        </is>
      </c>
    </row>
    <row r="4" ht="22" customHeight="1">
      <c r="A4" s="3" t="inlineStr">
        <is>
          <t>■ 每日填寫（4 週 / 28 天）</t>
        </is>
      </c>
    </row>
    <row r="5" ht="30" customHeight="1">
      <c r="A5" s="12" t="inlineStr">
        <is>
          <t>日期</t>
        </is>
      </c>
      <c r="B5" s="12" t="inlineStr">
        <is>
          <t>週</t>
        </is>
      </c>
      <c r="C5" s="12" t="inlineStr">
        <is>
          <t>訓練類型</t>
        </is>
      </c>
      <c r="D5" s="12" t="inlineStr">
        <is>
          <t>時長(分)</t>
        </is>
      </c>
      <c r="E5" s="12" t="inlineStr">
        <is>
          <t>S-RPE</t>
        </is>
      </c>
      <c r="F5" s="12" t="inlineStr">
        <is>
          <t>點數</t>
        </is>
      </c>
      <c r="G5" s="12" t="inlineStr">
        <is>
          <t>Ready</t>
        </is>
      </c>
      <c r="H5" s="12" t="inlineStr">
        <is>
          <t>P(g)</t>
        </is>
      </c>
      <c r="I5" s="12" t="inlineStr">
        <is>
          <t>F(g)</t>
        </is>
      </c>
      <c r="J5" s="12" t="inlineStr">
        <is>
          <t>C(g)</t>
        </is>
      </c>
      <c r="K5" s="12" t="inlineStr">
        <is>
          <t>熱量(kcal)</t>
        </is>
      </c>
      <c r="L5" s="12" t="inlineStr">
        <is>
          <t>目標kcal</t>
        </is>
      </c>
      <c r="M5" s="12" t="inlineStr">
        <is>
          <t>ΔKcal</t>
        </is>
      </c>
      <c r="N5" s="12" t="inlineStr">
        <is>
          <t>ΔP(g)</t>
        </is>
      </c>
      <c r="O5" s="12" t="inlineStr">
        <is>
          <t>狀態</t>
        </is>
      </c>
      <c r="P5" s="12" t="inlineStr">
        <is>
          <t>體重(kg)</t>
        </is>
      </c>
      <c r="Q5" s="12" t="inlineStr">
        <is>
          <t>備註</t>
        </is>
      </c>
    </row>
    <row r="6">
      <c r="A6" s="25" t="n"/>
      <c r="B6" s="26">
        <f>IF(A6="","",TEXT(A6,"aaa"))</f>
        <v/>
      </c>
      <c r="C6" s="25" t="n"/>
      <c r="D6" s="25" t="n"/>
      <c r="E6" s="25" t="n"/>
      <c r="F6" s="26">
        <f>IF(OR(D6="",E6=""),"",D6*E6)</f>
        <v/>
      </c>
      <c r="G6" s="25" t="n"/>
      <c r="H6" s="25" t="n"/>
      <c r="I6" s="25" t="n"/>
      <c r="J6" s="25" t="n"/>
      <c r="K6" s="26">
        <f>IF(SUM(H6:J6)=0,"",H6*4+I6*9+J6*4)</f>
        <v/>
      </c>
      <c r="L6" s="27">
        <f>IF(C6="","",IF(OR(ISNUMBER(SEARCH("Day 1",C6)),ISNUMBER(SEARCH("Day 2",C6)),ISNUMBER(SEARCH("Day 4",C6)),ISNUMBER(SEARCH("Day 5",C6)),C6="方案A 全身"),'營養目標'!$F$10,'營養目標'!$F$11))</f>
        <v/>
      </c>
      <c r="M6" s="26">
        <f>IF(OR(K6="",L6=""),"",K6-L6)</f>
        <v/>
      </c>
      <c r="N6" s="27">
        <f>IF(H6="","",H6-'營養目標'!$C$10)</f>
        <v/>
      </c>
      <c r="O6" s="26">
        <f>IF(OR(K6="",L6=""),"",IF(AND(ABS(M6)&lt;=200,N6&gt;=-20,OR(G6="",G6&gt;=14)),"✓",IF(OR(ABS(M6)&gt;400,N6&lt;-40,AND(G6&lt;&gt;"",G6&lt;10)),"✗","⚠")))</f>
        <v/>
      </c>
      <c r="P6" s="25" t="n"/>
      <c r="Q6" s="28" t="n"/>
    </row>
    <row r="7">
      <c r="A7" s="25" t="n"/>
      <c r="B7" s="26">
        <f>IF(A7="","",TEXT(A7,"aaa"))</f>
        <v/>
      </c>
      <c r="C7" s="25" t="n"/>
      <c r="D7" s="25" t="n"/>
      <c r="E7" s="25" t="n"/>
      <c r="F7" s="26">
        <f>IF(OR(D7="",E7=""),"",D7*E7)</f>
        <v/>
      </c>
      <c r="G7" s="25" t="n"/>
      <c r="H7" s="25" t="n"/>
      <c r="I7" s="25" t="n"/>
      <c r="J7" s="25" t="n"/>
      <c r="K7" s="26">
        <f>IF(SUM(H7:J7)=0,"",H7*4+I7*9+J7*4)</f>
        <v/>
      </c>
      <c r="L7" s="27">
        <f>IF(C7="","",IF(OR(ISNUMBER(SEARCH("Day 1",C7)),ISNUMBER(SEARCH("Day 2",C7)),ISNUMBER(SEARCH("Day 4",C7)),ISNUMBER(SEARCH("Day 5",C7)),C7="方案A 全身"),'營養目標'!$F$10,'營養目標'!$F$11))</f>
        <v/>
      </c>
      <c r="M7" s="26">
        <f>IF(OR(K7="",L7=""),"",K7-L7)</f>
        <v/>
      </c>
      <c r="N7" s="27">
        <f>IF(H7="","",H7-'營養目標'!$C$10)</f>
        <v/>
      </c>
      <c r="O7" s="26">
        <f>IF(OR(K7="",L7=""),"",IF(AND(ABS(M7)&lt;=200,N7&gt;=-20,OR(G7="",G7&gt;=14)),"✓",IF(OR(ABS(M7)&gt;400,N7&lt;-40,AND(G7&lt;&gt;"",G7&lt;10)),"✗","⚠")))</f>
        <v/>
      </c>
      <c r="P7" s="25" t="n"/>
      <c r="Q7" s="28" t="n"/>
    </row>
    <row r="8">
      <c r="A8" s="25" t="n"/>
      <c r="B8" s="26">
        <f>IF(A8="","",TEXT(A8,"aaa"))</f>
        <v/>
      </c>
      <c r="C8" s="25" t="n"/>
      <c r="D8" s="25" t="n"/>
      <c r="E8" s="25" t="n"/>
      <c r="F8" s="26">
        <f>IF(OR(D8="",E8=""),"",D8*E8)</f>
        <v/>
      </c>
      <c r="G8" s="25" t="n"/>
      <c r="H8" s="25" t="n"/>
      <c r="I8" s="25" t="n"/>
      <c r="J8" s="25" t="n"/>
      <c r="K8" s="26">
        <f>IF(SUM(H8:J8)=0,"",H8*4+I8*9+J8*4)</f>
        <v/>
      </c>
      <c r="L8" s="27">
        <f>IF(C8="","",IF(OR(ISNUMBER(SEARCH("Day 1",C8)),ISNUMBER(SEARCH("Day 2",C8)),ISNUMBER(SEARCH("Day 4",C8)),ISNUMBER(SEARCH("Day 5",C8)),C8="方案A 全身"),'營養目標'!$F$10,'營養目標'!$F$11))</f>
        <v/>
      </c>
      <c r="M8" s="26">
        <f>IF(OR(K8="",L8=""),"",K8-L8)</f>
        <v/>
      </c>
      <c r="N8" s="27">
        <f>IF(H8="","",H8-'營養目標'!$C$10)</f>
        <v/>
      </c>
      <c r="O8" s="26">
        <f>IF(OR(K8="",L8=""),"",IF(AND(ABS(M8)&lt;=200,N8&gt;=-20,OR(G8="",G8&gt;=14)),"✓",IF(OR(ABS(M8)&gt;400,N8&lt;-40,AND(G8&lt;&gt;"",G8&lt;10)),"✗","⚠")))</f>
        <v/>
      </c>
      <c r="P8" s="25" t="n"/>
      <c r="Q8" s="28" t="n"/>
    </row>
    <row r="9">
      <c r="A9" s="25" t="n"/>
      <c r="B9" s="26">
        <f>IF(A9="","",TEXT(A9,"aaa"))</f>
        <v/>
      </c>
      <c r="C9" s="25" t="n"/>
      <c r="D9" s="25" t="n"/>
      <c r="E9" s="25" t="n"/>
      <c r="F9" s="26">
        <f>IF(OR(D9="",E9=""),"",D9*E9)</f>
        <v/>
      </c>
      <c r="G9" s="25" t="n"/>
      <c r="H9" s="25" t="n"/>
      <c r="I9" s="25" t="n"/>
      <c r="J9" s="25" t="n"/>
      <c r="K9" s="26">
        <f>IF(SUM(H9:J9)=0,"",H9*4+I9*9+J9*4)</f>
        <v/>
      </c>
      <c r="L9" s="27">
        <f>IF(C9="","",IF(OR(ISNUMBER(SEARCH("Day 1",C9)),ISNUMBER(SEARCH("Day 2",C9)),ISNUMBER(SEARCH("Day 4",C9)),ISNUMBER(SEARCH("Day 5",C9)),C9="方案A 全身"),'營養目標'!$F$10,'營養目標'!$F$11))</f>
        <v/>
      </c>
      <c r="M9" s="26">
        <f>IF(OR(K9="",L9=""),"",K9-L9)</f>
        <v/>
      </c>
      <c r="N9" s="27">
        <f>IF(H9="","",H9-'營養目標'!$C$10)</f>
        <v/>
      </c>
      <c r="O9" s="26">
        <f>IF(OR(K9="",L9=""),"",IF(AND(ABS(M9)&lt;=200,N9&gt;=-20,OR(G9="",G9&gt;=14)),"✓",IF(OR(ABS(M9)&gt;400,N9&lt;-40,AND(G9&lt;&gt;"",G9&lt;10)),"✗","⚠")))</f>
        <v/>
      </c>
      <c r="P9" s="25" t="n"/>
      <c r="Q9" s="28" t="n"/>
    </row>
    <row r="10">
      <c r="A10" s="25" t="n"/>
      <c r="B10" s="26">
        <f>IF(A10="","",TEXT(A10,"aaa"))</f>
        <v/>
      </c>
      <c r="C10" s="25" t="n"/>
      <c r="D10" s="25" t="n"/>
      <c r="E10" s="25" t="n"/>
      <c r="F10" s="26">
        <f>IF(OR(D10="",E10=""),"",D10*E10)</f>
        <v/>
      </c>
      <c r="G10" s="25" t="n"/>
      <c r="H10" s="25" t="n"/>
      <c r="I10" s="25" t="n"/>
      <c r="J10" s="25" t="n"/>
      <c r="K10" s="26">
        <f>IF(SUM(H10:J10)=0,"",H10*4+I10*9+J10*4)</f>
        <v/>
      </c>
      <c r="L10" s="27">
        <f>IF(C10="","",IF(OR(ISNUMBER(SEARCH("Day 1",C10)),ISNUMBER(SEARCH("Day 2",C10)),ISNUMBER(SEARCH("Day 4",C10)),ISNUMBER(SEARCH("Day 5",C10)),C10="方案A 全身"),'營養目標'!$F$10,'營養目標'!$F$11))</f>
        <v/>
      </c>
      <c r="M10" s="26">
        <f>IF(OR(K10="",L10=""),"",K10-L10)</f>
        <v/>
      </c>
      <c r="N10" s="27">
        <f>IF(H10="","",H10-'營養目標'!$C$10)</f>
        <v/>
      </c>
      <c r="O10" s="26">
        <f>IF(OR(K10="",L10=""),"",IF(AND(ABS(M10)&lt;=200,N10&gt;=-20,OR(G10="",G10&gt;=14)),"✓",IF(OR(ABS(M10)&gt;400,N10&lt;-40,AND(G10&lt;&gt;"",G10&lt;10)),"✗","⚠")))</f>
        <v/>
      </c>
      <c r="P10" s="25" t="n"/>
      <c r="Q10" s="28" t="n"/>
    </row>
    <row r="11">
      <c r="A11" s="25" t="n"/>
      <c r="B11" s="26">
        <f>IF(A11="","",TEXT(A11,"aaa"))</f>
        <v/>
      </c>
      <c r="C11" s="25" t="n"/>
      <c r="D11" s="25" t="n"/>
      <c r="E11" s="25" t="n"/>
      <c r="F11" s="26">
        <f>IF(OR(D11="",E11=""),"",D11*E11)</f>
        <v/>
      </c>
      <c r="G11" s="25" t="n"/>
      <c r="H11" s="25" t="n"/>
      <c r="I11" s="25" t="n"/>
      <c r="J11" s="25" t="n"/>
      <c r="K11" s="26">
        <f>IF(SUM(H11:J11)=0,"",H11*4+I11*9+J11*4)</f>
        <v/>
      </c>
      <c r="L11" s="27">
        <f>IF(C11="","",IF(OR(ISNUMBER(SEARCH("Day 1",C11)),ISNUMBER(SEARCH("Day 2",C11)),ISNUMBER(SEARCH("Day 4",C11)),ISNUMBER(SEARCH("Day 5",C11)),C11="方案A 全身"),'營養目標'!$F$10,'營養目標'!$F$11))</f>
        <v/>
      </c>
      <c r="M11" s="26">
        <f>IF(OR(K11="",L11=""),"",K11-L11)</f>
        <v/>
      </c>
      <c r="N11" s="27">
        <f>IF(H11="","",H11-'營養目標'!$C$10)</f>
        <v/>
      </c>
      <c r="O11" s="26">
        <f>IF(OR(K11="",L11=""),"",IF(AND(ABS(M11)&lt;=200,N11&gt;=-20,OR(G11="",G11&gt;=14)),"✓",IF(OR(ABS(M11)&gt;400,N11&lt;-40,AND(G11&lt;&gt;"",G11&lt;10)),"✗","⚠")))</f>
        <v/>
      </c>
      <c r="P11" s="25" t="n"/>
      <c r="Q11" s="28" t="n"/>
    </row>
    <row r="12">
      <c r="A12" s="29" t="n"/>
      <c r="B12" s="30">
        <f>IF(A12="","",TEXT(A12,"aaa"))</f>
        <v/>
      </c>
      <c r="C12" s="29" t="n"/>
      <c r="D12" s="29" t="n"/>
      <c r="E12" s="29" t="n"/>
      <c r="F12" s="30">
        <f>IF(OR(D12="",E12=""),"",D12*E12)</f>
        <v/>
      </c>
      <c r="G12" s="29" t="n"/>
      <c r="H12" s="29" t="n"/>
      <c r="I12" s="29" t="n"/>
      <c r="J12" s="29" t="n"/>
      <c r="K12" s="30">
        <f>IF(SUM(H12:J12)=0,"",H12*4+I12*9+J12*4)</f>
        <v/>
      </c>
      <c r="L12" s="31">
        <f>IF(C12="","",IF(OR(ISNUMBER(SEARCH("Day 1",C12)),ISNUMBER(SEARCH("Day 2",C12)),ISNUMBER(SEARCH("Day 4",C12)),ISNUMBER(SEARCH("Day 5",C12)),C12="方案A 全身"),'營養目標'!$F$10,'營養目標'!$F$11))</f>
        <v/>
      </c>
      <c r="M12" s="30">
        <f>IF(OR(K12="",L12=""),"",K12-L12)</f>
        <v/>
      </c>
      <c r="N12" s="31">
        <f>IF(H12="","",H12-'營養目標'!$C$10)</f>
        <v/>
      </c>
      <c r="O12" s="30">
        <f>IF(OR(K12="",L12=""),"",IF(AND(ABS(M12)&lt;=200,N12&gt;=-20,OR(G12="",G12&gt;=14)),"✓",IF(OR(ABS(M12)&gt;400,N12&lt;-40,AND(G12&lt;&gt;"",G12&lt;10)),"✗","⚠")))</f>
        <v/>
      </c>
      <c r="P12" s="29" t="n"/>
      <c r="Q12" s="32" t="n"/>
    </row>
    <row r="13">
      <c r="A13" s="25" t="n"/>
      <c r="B13" s="33">
        <f>IF(A13="","",TEXT(A13,"aaa"))</f>
        <v/>
      </c>
      <c r="C13" s="25" t="n"/>
      <c r="D13" s="25" t="n"/>
      <c r="E13" s="25" t="n"/>
      <c r="F13" s="26">
        <f>IF(OR(D13="",E13=""),"",D13*E13)</f>
        <v/>
      </c>
      <c r="G13" s="25" t="n"/>
      <c r="H13" s="25" t="n"/>
      <c r="I13" s="25" t="n"/>
      <c r="J13" s="25" t="n"/>
      <c r="K13" s="26">
        <f>IF(SUM(H13:J13)=0,"",H13*4+I13*9+J13*4)</f>
        <v/>
      </c>
      <c r="L13" s="27">
        <f>IF(C13="","",IF(OR(ISNUMBER(SEARCH("Day 1",C13)),ISNUMBER(SEARCH("Day 2",C13)),ISNUMBER(SEARCH("Day 4",C13)),ISNUMBER(SEARCH("Day 5",C13)),C13="方案A 全身"),'營養目標'!$F$10,'營養目標'!$F$11))</f>
        <v/>
      </c>
      <c r="M13" s="26">
        <f>IF(OR(K13="",L13=""),"",K13-L13)</f>
        <v/>
      </c>
      <c r="N13" s="27">
        <f>IF(H13="","",H13-'營養目標'!$C$10)</f>
        <v/>
      </c>
      <c r="O13" s="26">
        <f>IF(OR(K13="",L13=""),"",IF(AND(ABS(M13)&lt;=200,N13&gt;=-20,OR(G13="",G13&gt;=14)),"✓",IF(OR(ABS(M13)&gt;400,N13&lt;-40,AND(G13&lt;&gt;"",G13&lt;10)),"✗","⚠")))</f>
        <v/>
      </c>
      <c r="P13" s="25" t="n"/>
      <c r="Q13" s="28" t="n"/>
    </row>
    <row r="14">
      <c r="A14" s="25" t="n"/>
      <c r="B14" s="33">
        <f>IF(A14="","",TEXT(A14,"aaa"))</f>
        <v/>
      </c>
      <c r="C14" s="25" t="n"/>
      <c r="D14" s="25" t="n"/>
      <c r="E14" s="25" t="n"/>
      <c r="F14" s="26">
        <f>IF(OR(D14="",E14=""),"",D14*E14)</f>
        <v/>
      </c>
      <c r="G14" s="25" t="n"/>
      <c r="H14" s="25" t="n"/>
      <c r="I14" s="25" t="n"/>
      <c r="J14" s="25" t="n"/>
      <c r="K14" s="26">
        <f>IF(SUM(H14:J14)=0,"",H14*4+I14*9+J14*4)</f>
        <v/>
      </c>
      <c r="L14" s="27">
        <f>IF(C14="","",IF(OR(ISNUMBER(SEARCH("Day 1",C14)),ISNUMBER(SEARCH("Day 2",C14)),ISNUMBER(SEARCH("Day 4",C14)),ISNUMBER(SEARCH("Day 5",C14)),C14="方案A 全身"),'營養目標'!$F$10,'營養目標'!$F$11))</f>
        <v/>
      </c>
      <c r="M14" s="26">
        <f>IF(OR(K14="",L14=""),"",K14-L14)</f>
        <v/>
      </c>
      <c r="N14" s="27">
        <f>IF(H14="","",H14-'營養目標'!$C$10)</f>
        <v/>
      </c>
      <c r="O14" s="26">
        <f>IF(OR(K14="",L14=""),"",IF(AND(ABS(M14)&lt;=200,N14&gt;=-20,OR(G14="",G14&gt;=14)),"✓",IF(OR(ABS(M14)&gt;400,N14&lt;-40,AND(G14&lt;&gt;"",G14&lt;10)),"✗","⚠")))</f>
        <v/>
      </c>
      <c r="P14" s="25" t="n"/>
      <c r="Q14" s="28" t="n"/>
    </row>
    <row r="15">
      <c r="A15" s="25" t="n"/>
      <c r="B15" s="33">
        <f>IF(A15="","",TEXT(A15,"aaa"))</f>
        <v/>
      </c>
      <c r="C15" s="25" t="n"/>
      <c r="D15" s="25" t="n"/>
      <c r="E15" s="25" t="n"/>
      <c r="F15" s="26">
        <f>IF(OR(D15="",E15=""),"",D15*E15)</f>
        <v/>
      </c>
      <c r="G15" s="25" t="n"/>
      <c r="H15" s="25" t="n"/>
      <c r="I15" s="25" t="n"/>
      <c r="J15" s="25" t="n"/>
      <c r="K15" s="26">
        <f>IF(SUM(H15:J15)=0,"",H15*4+I15*9+J15*4)</f>
        <v/>
      </c>
      <c r="L15" s="27">
        <f>IF(C15="","",IF(OR(ISNUMBER(SEARCH("Day 1",C15)),ISNUMBER(SEARCH("Day 2",C15)),ISNUMBER(SEARCH("Day 4",C15)),ISNUMBER(SEARCH("Day 5",C15)),C15="方案A 全身"),'營養目標'!$F$10,'營養目標'!$F$11))</f>
        <v/>
      </c>
      <c r="M15" s="26">
        <f>IF(OR(K15="",L15=""),"",K15-L15)</f>
        <v/>
      </c>
      <c r="N15" s="27">
        <f>IF(H15="","",H15-'營養目標'!$C$10)</f>
        <v/>
      </c>
      <c r="O15" s="26">
        <f>IF(OR(K15="",L15=""),"",IF(AND(ABS(M15)&lt;=200,N15&gt;=-20,OR(G15="",G15&gt;=14)),"✓",IF(OR(ABS(M15)&gt;400,N15&lt;-40,AND(G15&lt;&gt;"",G15&lt;10)),"✗","⚠")))</f>
        <v/>
      </c>
      <c r="P15" s="25" t="n"/>
      <c r="Q15" s="28" t="n"/>
    </row>
    <row r="16">
      <c r="A16" s="25" t="n"/>
      <c r="B16" s="33">
        <f>IF(A16="","",TEXT(A16,"aaa"))</f>
        <v/>
      </c>
      <c r="C16" s="25" t="n"/>
      <c r="D16" s="25" t="n"/>
      <c r="E16" s="25" t="n"/>
      <c r="F16" s="26">
        <f>IF(OR(D16="",E16=""),"",D16*E16)</f>
        <v/>
      </c>
      <c r="G16" s="25" t="n"/>
      <c r="H16" s="25" t="n"/>
      <c r="I16" s="25" t="n"/>
      <c r="J16" s="25" t="n"/>
      <c r="K16" s="26">
        <f>IF(SUM(H16:J16)=0,"",H16*4+I16*9+J16*4)</f>
        <v/>
      </c>
      <c r="L16" s="27">
        <f>IF(C16="","",IF(OR(ISNUMBER(SEARCH("Day 1",C16)),ISNUMBER(SEARCH("Day 2",C16)),ISNUMBER(SEARCH("Day 4",C16)),ISNUMBER(SEARCH("Day 5",C16)),C16="方案A 全身"),'營養目標'!$F$10,'營養目標'!$F$11))</f>
        <v/>
      </c>
      <c r="M16" s="26">
        <f>IF(OR(K16="",L16=""),"",K16-L16)</f>
        <v/>
      </c>
      <c r="N16" s="27">
        <f>IF(H16="","",H16-'營養目標'!$C$10)</f>
        <v/>
      </c>
      <c r="O16" s="26">
        <f>IF(OR(K16="",L16=""),"",IF(AND(ABS(M16)&lt;=200,N16&gt;=-20,OR(G16="",G16&gt;=14)),"✓",IF(OR(ABS(M16)&gt;400,N16&lt;-40,AND(G16&lt;&gt;"",G16&lt;10)),"✗","⚠")))</f>
        <v/>
      </c>
      <c r="P16" s="25" t="n"/>
      <c r="Q16" s="28" t="n"/>
    </row>
    <row r="17">
      <c r="A17" s="25" t="n"/>
      <c r="B17" s="33">
        <f>IF(A17="","",TEXT(A17,"aaa"))</f>
        <v/>
      </c>
      <c r="C17" s="25" t="n"/>
      <c r="D17" s="25" t="n"/>
      <c r="E17" s="25" t="n"/>
      <c r="F17" s="26">
        <f>IF(OR(D17="",E17=""),"",D17*E17)</f>
        <v/>
      </c>
      <c r="G17" s="25" t="n"/>
      <c r="H17" s="25" t="n"/>
      <c r="I17" s="25" t="n"/>
      <c r="J17" s="25" t="n"/>
      <c r="K17" s="26">
        <f>IF(SUM(H17:J17)=0,"",H17*4+I17*9+J17*4)</f>
        <v/>
      </c>
      <c r="L17" s="27">
        <f>IF(C17="","",IF(OR(ISNUMBER(SEARCH("Day 1",C17)),ISNUMBER(SEARCH("Day 2",C17)),ISNUMBER(SEARCH("Day 4",C17)),ISNUMBER(SEARCH("Day 5",C17)),C17="方案A 全身"),'營養目標'!$F$10,'營養目標'!$F$11))</f>
        <v/>
      </c>
      <c r="M17" s="26">
        <f>IF(OR(K17="",L17=""),"",K17-L17)</f>
        <v/>
      </c>
      <c r="N17" s="27">
        <f>IF(H17="","",H17-'營養目標'!$C$10)</f>
        <v/>
      </c>
      <c r="O17" s="26">
        <f>IF(OR(K17="",L17=""),"",IF(AND(ABS(M17)&lt;=200,N17&gt;=-20,OR(G17="",G17&gt;=14)),"✓",IF(OR(ABS(M17)&gt;400,N17&lt;-40,AND(G17&lt;&gt;"",G17&lt;10)),"✗","⚠")))</f>
        <v/>
      </c>
      <c r="P17" s="25" t="n"/>
      <c r="Q17" s="28" t="n"/>
    </row>
    <row r="18">
      <c r="A18" s="25" t="n"/>
      <c r="B18" s="33">
        <f>IF(A18="","",TEXT(A18,"aaa"))</f>
        <v/>
      </c>
      <c r="C18" s="25" t="n"/>
      <c r="D18" s="25" t="n"/>
      <c r="E18" s="25" t="n"/>
      <c r="F18" s="26">
        <f>IF(OR(D18="",E18=""),"",D18*E18)</f>
        <v/>
      </c>
      <c r="G18" s="25" t="n"/>
      <c r="H18" s="25" t="n"/>
      <c r="I18" s="25" t="n"/>
      <c r="J18" s="25" t="n"/>
      <c r="K18" s="26">
        <f>IF(SUM(H18:J18)=0,"",H18*4+I18*9+J18*4)</f>
        <v/>
      </c>
      <c r="L18" s="27">
        <f>IF(C18="","",IF(OR(ISNUMBER(SEARCH("Day 1",C18)),ISNUMBER(SEARCH("Day 2",C18)),ISNUMBER(SEARCH("Day 4",C18)),ISNUMBER(SEARCH("Day 5",C18)),C18="方案A 全身"),'營養目標'!$F$10,'營養目標'!$F$11))</f>
        <v/>
      </c>
      <c r="M18" s="26">
        <f>IF(OR(K18="",L18=""),"",K18-L18)</f>
        <v/>
      </c>
      <c r="N18" s="27">
        <f>IF(H18="","",H18-'營養目標'!$C$10)</f>
        <v/>
      </c>
      <c r="O18" s="26">
        <f>IF(OR(K18="",L18=""),"",IF(AND(ABS(M18)&lt;=200,N18&gt;=-20,OR(G18="",G18&gt;=14)),"✓",IF(OR(ABS(M18)&gt;400,N18&lt;-40,AND(G18&lt;&gt;"",G18&lt;10)),"✗","⚠")))</f>
        <v/>
      </c>
      <c r="P18" s="25" t="n"/>
      <c r="Q18" s="28" t="n"/>
    </row>
    <row r="19">
      <c r="A19" s="29" t="n"/>
      <c r="B19" s="34">
        <f>IF(A19="","",TEXT(A19,"aaa"))</f>
        <v/>
      </c>
      <c r="C19" s="29" t="n"/>
      <c r="D19" s="29" t="n"/>
      <c r="E19" s="29" t="n"/>
      <c r="F19" s="30">
        <f>IF(OR(D19="",E19=""),"",D19*E19)</f>
        <v/>
      </c>
      <c r="G19" s="29" t="n"/>
      <c r="H19" s="29" t="n"/>
      <c r="I19" s="29" t="n"/>
      <c r="J19" s="29" t="n"/>
      <c r="K19" s="30">
        <f>IF(SUM(H19:J19)=0,"",H19*4+I19*9+J19*4)</f>
        <v/>
      </c>
      <c r="L19" s="31">
        <f>IF(C19="","",IF(OR(ISNUMBER(SEARCH("Day 1",C19)),ISNUMBER(SEARCH("Day 2",C19)),ISNUMBER(SEARCH("Day 4",C19)),ISNUMBER(SEARCH("Day 5",C19)),C19="方案A 全身"),'營養目標'!$F$10,'營養目標'!$F$11))</f>
        <v/>
      </c>
      <c r="M19" s="30">
        <f>IF(OR(K19="",L19=""),"",K19-L19)</f>
        <v/>
      </c>
      <c r="N19" s="31">
        <f>IF(H19="","",H19-'營養目標'!$C$10)</f>
        <v/>
      </c>
      <c r="O19" s="30">
        <f>IF(OR(K19="",L19=""),"",IF(AND(ABS(M19)&lt;=200,N19&gt;=-20,OR(G19="",G19&gt;=14)),"✓",IF(OR(ABS(M19)&gt;400,N19&lt;-40,AND(G19&lt;&gt;"",G19&lt;10)),"✗","⚠")))</f>
        <v/>
      </c>
      <c r="P19" s="29" t="n"/>
      <c r="Q19" s="32" t="n"/>
    </row>
    <row r="20">
      <c r="A20" s="25" t="n"/>
      <c r="B20" s="26">
        <f>IF(A20="","",TEXT(A20,"aaa"))</f>
        <v/>
      </c>
      <c r="C20" s="25" t="n"/>
      <c r="D20" s="25" t="n"/>
      <c r="E20" s="25" t="n"/>
      <c r="F20" s="26">
        <f>IF(OR(D20="",E20=""),"",D20*E20)</f>
        <v/>
      </c>
      <c r="G20" s="25" t="n"/>
      <c r="H20" s="25" t="n"/>
      <c r="I20" s="25" t="n"/>
      <c r="J20" s="25" t="n"/>
      <c r="K20" s="26">
        <f>IF(SUM(H20:J20)=0,"",H20*4+I20*9+J20*4)</f>
        <v/>
      </c>
      <c r="L20" s="27">
        <f>IF(C20="","",IF(OR(ISNUMBER(SEARCH("Day 1",C20)),ISNUMBER(SEARCH("Day 2",C20)),ISNUMBER(SEARCH("Day 4",C20)),ISNUMBER(SEARCH("Day 5",C20)),C20="方案A 全身"),'營養目標'!$F$10,'營養目標'!$F$11))</f>
        <v/>
      </c>
      <c r="M20" s="26">
        <f>IF(OR(K20="",L20=""),"",K20-L20)</f>
        <v/>
      </c>
      <c r="N20" s="27">
        <f>IF(H20="","",H20-'營養目標'!$C$10)</f>
        <v/>
      </c>
      <c r="O20" s="26">
        <f>IF(OR(K20="",L20=""),"",IF(AND(ABS(M20)&lt;=200,N20&gt;=-20,OR(G20="",G20&gt;=14)),"✓",IF(OR(ABS(M20)&gt;400,N20&lt;-40,AND(G20&lt;&gt;"",G20&lt;10)),"✗","⚠")))</f>
        <v/>
      </c>
      <c r="P20" s="25" t="n"/>
      <c r="Q20" s="28" t="n"/>
    </row>
    <row r="21">
      <c r="A21" s="25" t="n"/>
      <c r="B21" s="26">
        <f>IF(A21="","",TEXT(A21,"aaa"))</f>
        <v/>
      </c>
      <c r="C21" s="25" t="n"/>
      <c r="D21" s="25" t="n"/>
      <c r="E21" s="25" t="n"/>
      <c r="F21" s="26">
        <f>IF(OR(D21="",E21=""),"",D21*E21)</f>
        <v/>
      </c>
      <c r="G21" s="25" t="n"/>
      <c r="H21" s="25" t="n"/>
      <c r="I21" s="25" t="n"/>
      <c r="J21" s="25" t="n"/>
      <c r="K21" s="26">
        <f>IF(SUM(H21:J21)=0,"",H21*4+I21*9+J21*4)</f>
        <v/>
      </c>
      <c r="L21" s="27">
        <f>IF(C21="","",IF(OR(ISNUMBER(SEARCH("Day 1",C21)),ISNUMBER(SEARCH("Day 2",C21)),ISNUMBER(SEARCH("Day 4",C21)),ISNUMBER(SEARCH("Day 5",C21)),C21="方案A 全身"),'營養目標'!$F$10,'營養目標'!$F$11))</f>
        <v/>
      </c>
      <c r="M21" s="26">
        <f>IF(OR(K21="",L21=""),"",K21-L21)</f>
        <v/>
      </c>
      <c r="N21" s="27">
        <f>IF(H21="","",H21-'營養目標'!$C$10)</f>
        <v/>
      </c>
      <c r="O21" s="26">
        <f>IF(OR(K21="",L21=""),"",IF(AND(ABS(M21)&lt;=200,N21&gt;=-20,OR(G21="",G21&gt;=14)),"✓",IF(OR(ABS(M21)&gt;400,N21&lt;-40,AND(G21&lt;&gt;"",G21&lt;10)),"✗","⚠")))</f>
        <v/>
      </c>
      <c r="P21" s="25" t="n"/>
      <c r="Q21" s="28" t="n"/>
    </row>
    <row r="22">
      <c r="A22" s="25" t="n"/>
      <c r="B22" s="26">
        <f>IF(A22="","",TEXT(A22,"aaa"))</f>
        <v/>
      </c>
      <c r="C22" s="25" t="n"/>
      <c r="D22" s="25" t="n"/>
      <c r="E22" s="25" t="n"/>
      <c r="F22" s="26">
        <f>IF(OR(D22="",E22=""),"",D22*E22)</f>
        <v/>
      </c>
      <c r="G22" s="25" t="n"/>
      <c r="H22" s="25" t="n"/>
      <c r="I22" s="25" t="n"/>
      <c r="J22" s="25" t="n"/>
      <c r="K22" s="26">
        <f>IF(SUM(H22:J22)=0,"",H22*4+I22*9+J22*4)</f>
        <v/>
      </c>
      <c r="L22" s="27">
        <f>IF(C22="","",IF(OR(ISNUMBER(SEARCH("Day 1",C22)),ISNUMBER(SEARCH("Day 2",C22)),ISNUMBER(SEARCH("Day 4",C22)),ISNUMBER(SEARCH("Day 5",C22)),C22="方案A 全身"),'營養目標'!$F$10,'營養目標'!$F$11))</f>
        <v/>
      </c>
      <c r="M22" s="26">
        <f>IF(OR(K22="",L22=""),"",K22-L22)</f>
        <v/>
      </c>
      <c r="N22" s="27">
        <f>IF(H22="","",H22-'營養目標'!$C$10)</f>
        <v/>
      </c>
      <c r="O22" s="26">
        <f>IF(OR(K22="",L22=""),"",IF(AND(ABS(M22)&lt;=200,N22&gt;=-20,OR(G22="",G22&gt;=14)),"✓",IF(OR(ABS(M22)&gt;400,N22&lt;-40,AND(G22&lt;&gt;"",G22&lt;10)),"✗","⚠")))</f>
        <v/>
      </c>
      <c r="P22" s="25" t="n"/>
      <c r="Q22" s="28" t="n"/>
    </row>
    <row r="23">
      <c r="A23" s="25" t="n"/>
      <c r="B23" s="26">
        <f>IF(A23="","",TEXT(A23,"aaa"))</f>
        <v/>
      </c>
      <c r="C23" s="25" t="n"/>
      <c r="D23" s="25" t="n"/>
      <c r="E23" s="25" t="n"/>
      <c r="F23" s="26">
        <f>IF(OR(D23="",E23=""),"",D23*E23)</f>
        <v/>
      </c>
      <c r="G23" s="25" t="n"/>
      <c r="H23" s="25" t="n"/>
      <c r="I23" s="25" t="n"/>
      <c r="J23" s="25" t="n"/>
      <c r="K23" s="26">
        <f>IF(SUM(H23:J23)=0,"",H23*4+I23*9+J23*4)</f>
        <v/>
      </c>
      <c r="L23" s="27">
        <f>IF(C23="","",IF(OR(ISNUMBER(SEARCH("Day 1",C23)),ISNUMBER(SEARCH("Day 2",C23)),ISNUMBER(SEARCH("Day 4",C23)),ISNUMBER(SEARCH("Day 5",C23)),C23="方案A 全身"),'營養目標'!$F$10,'營養目標'!$F$11))</f>
        <v/>
      </c>
      <c r="M23" s="26">
        <f>IF(OR(K23="",L23=""),"",K23-L23)</f>
        <v/>
      </c>
      <c r="N23" s="27">
        <f>IF(H23="","",H23-'營養目標'!$C$10)</f>
        <v/>
      </c>
      <c r="O23" s="26">
        <f>IF(OR(K23="",L23=""),"",IF(AND(ABS(M23)&lt;=200,N23&gt;=-20,OR(G23="",G23&gt;=14)),"✓",IF(OR(ABS(M23)&gt;400,N23&lt;-40,AND(G23&lt;&gt;"",G23&lt;10)),"✗","⚠")))</f>
        <v/>
      </c>
      <c r="P23" s="25" t="n"/>
      <c r="Q23" s="28" t="n"/>
    </row>
    <row r="24">
      <c r="A24" s="25" t="n"/>
      <c r="B24" s="26">
        <f>IF(A24="","",TEXT(A24,"aaa"))</f>
        <v/>
      </c>
      <c r="C24" s="25" t="n"/>
      <c r="D24" s="25" t="n"/>
      <c r="E24" s="25" t="n"/>
      <c r="F24" s="26">
        <f>IF(OR(D24="",E24=""),"",D24*E24)</f>
        <v/>
      </c>
      <c r="G24" s="25" t="n"/>
      <c r="H24" s="25" t="n"/>
      <c r="I24" s="25" t="n"/>
      <c r="J24" s="25" t="n"/>
      <c r="K24" s="26">
        <f>IF(SUM(H24:J24)=0,"",H24*4+I24*9+J24*4)</f>
        <v/>
      </c>
      <c r="L24" s="27">
        <f>IF(C24="","",IF(OR(ISNUMBER(SEARCH("Day 1",C24)),ISNUMBER(SEARCH("Day 2",C24)),ISNUMBER(SEARCH("Day 4",C24)),ISNUMBER(SEARCH("Day 5",C24)),C24="方案A 全身"),'營養目標'!$F$10,'營養目標'!$F$11))</f>
        <v/>
      </c>
      <c r="M24" s="26">
        <f>IF(OR(K24="",L24=""),"",K24-L24)</f>
        <v/>
      </c>
      <c r="N24" s="27">
        <f>IF(H24="","",H24-'營養目標'!$C$10)</f>
        <v/>
      </c>
      <c r="O24" s="26">
        <f>IF(OR(K24="",L24=""),"",IF(AND(ABS(M24)&lt;=200,N24&gt;=-20,OR(G24="",G24&gt;=14)),"✓",IF(OR(ABS(M24)&gt;400,N24&lt;-40,AND(G24&lt;&gt;"",G24&lt;10)),"✗","⚠")))</f>
        <v/>
      </c>
      <c r="P24" s="25" t="n"/>
      <c r="Q24" s="28" t="n"/>
    </row>
    <row r="25">
      <c r="A25" s="25" t="n"/>
      <c r="B25" s="26">
        <f>IF(A25="","",TEXT(A25,"aaa"))</f>
        <v/>
      </c>
      <c r="C25" s="25" t="n"/>
      <c r="D25" s="25" t="n"/>
      <c r="E25" s="25" t="n"/>
      <c r="F25" s="26">
        <f>IF(OR(D25="",E25=""),"",D25*E25)</f>
        <v/>
      </c>
      <c r="G25" s="25" t="n"/>
      <c r="H25" s="25" t="n"/>
      <c r="I25" s="25" t="n"/>
      <c r="J25" s="25" t="n"/>
      <c r="K25" s="26">
        <f>IF(SUM(H25:J25)=0,"",H25*4+I25*9+J25*4)</f>
        <v/>
      </c>
      <c r="L25" s="27">
        <f>IF(C25="","",IF(OR(ISNUMBER(SEARCH("Day 1",C25)),ISNUMBER(SEARCH("Day 2",C25)),ISNUMBER(SEARCH("Day 4",C25)),ISNUMBER(SEARCH("Day 5",C25)),C25="方案A 全身"),'營養目標'!$F$10,'營養目標'!$F$11))</f>
        <v/>
      </c>
      <c r="M25" s="26">
        <f>IF(OR(K25="",L25=""),"",K25-L25)</f>
        <v/>
      </c>
      <c r="N25" s="27">
        <f>IF(H25="","",H25-'營養目標'!$C$10)</f>
        <v/>
      </c>
      <c r="O25" s="26">
        <f>IF(OR(K25="",L25=""),"",IF(AND(ABS(M25)&lt;=200,N25&gt;=-20,OR(G25="",G25&gt;=14)),"✓",IF(OR(ABS(M25)&gt;400,N25&lt;-40,AND(G25&lt;&gt;"",G25&lt;10)),"✗","⚠")))</f>
        <v/>
      </c>
      <c r="P25" s="25" t="n"/>
      <c r="Q25" s="28" t="n"/>
    </row>
    <row r="26">
      <c r="A26" s="29" t="n"/>
      <c r="B26" s="30">
        <f>IF(A26="","",TEXT(A26,"aaa"))</f>
        <v/>
      </c>
      <c r="C26" s="29" t="n"/>
      <c r="D26" s="29" t="n"/>
      <c r="E26" s="29" t="n"/>
      <c r="F26" s="30">
        <f>IF(OR(D26="",E26=""),"",D26*E26)</f>
        <v/>
      </c>
      <c r="G26" s="29" t="n"/>
      <c r="H26" s="29" t="n"/>
      <c r="I26" s="29" t="n"/>
      <c r="J26" s="29" t="n"/>
      <c r="K26" s="30">
        <f>IF(SUM(H26:J26)=0,"",H26*4+I26*9+J26*4)</f>
        <v/>
      </c>
      <c r="L26" s="31">
        <f>IF(C26="","",IF(OR(ISNUMBER(SEARCH("Day 1",C26)),ISNUMBER(SEARCH("Day 2",C26)),ISNUMBER(SEARCH("Day 4",C26)),ISNUMBER(SEARCH("Day 5",C26)),C26="方案A 全身"),'營養目標'!$F$10,'營養目標'!$F$11))</f>
        <v/>
      </c>
      <c r="M26" s="30">
        <f>IF(OR(K26="",L26=""),"",K26-L26)</f>
        <v/>
      </c>
      <c r="N26" s="31">
        <f>IF(H26="","",H26-'營養目標'!$C$10)</f>
        <v/>
      </c>
      <c r="O26" s="30">
        <f>IF(OR(K26="",L26=""),"",IF(AND(ABS(M26)&lt;=200,N26&gt;=-20,OR(G26="",G26&gt;=14)),"✓",IF(OR(ABS(M26)&gt;400,N26&lt;-40,AND(G26&lt;&gt;"",G26&lt;10)),"✗","⚠")))</f>
        <v/>
      </c>
      <c r="P26" s="29" t="n"/>
      <c r="Q26" s="32" t="n"/>
    </row>
    <row r="27">
      <c r="A27" s="25" t="n"/>
      <c r="B27" s="33">
        <f>IF(A27="","",TEXT(A27,"aaa"))</f>
        <v/>
      </c>
      <c r="C27" s="25" t="n"/>
      <c r="D27" s="25" t="n"/>
      <c r="E27" s="25" t="n"/>
      <c r="F27" s="26">
        <f>IF(OR(D27="",E27=""),"",D27*E27)</f>
        <v/>
      </c>
      <c r="G27" s="25" t="n"/>
      <c r="H27" s="25" t="n"/>
      <c r="I27" s="25" t="n"/>
      <c r="J27" s="25" t="n"/>
      <c r="K27" s="26">
        <f>IF(SUM(H27:J27)=0,"",H27*4+I27*9+J27*4)</f>
        <v/>
      </c>
      <c r="L27" s="27">
        <f>IF(C27="","",IF(OR(ISNUMBER(SEARCH("Day 1",C27)),ISNUMBER(SEARCH("Day 2",C27)),ISNUMBER(SEARCH("Day 4",C27)),ISNUMBER(SEARCH("Day 5",C27)),C27="方案A 全身"),'營養目標'!$F$10,'營養目標'!$F$11))</f>
        <v/>
      </c>
      <c r="M27" s="26">
        <f>IF(OR(K27="",L27=""),"",K27-L27)</f>
        <v/>
      </c>
      <c r="N27" s="27">
        <f>IF(H27="","",H27-'營養目標'!$C$10)</f>
        <v/>
      </c>
      <c r="O27" s="26">
        <f>IF(OR(K27="",L27=""),"",IF(AND(ABS(M27)&lt;=200,N27&gt;=-20,OR(G27="",G27&gt;=14)),"✓",IF(OR(ABS(M27)&gt;400,N27&lt;-40,AND(G27&lt;&gt;"",G27&lt;10)),"✗","⚠")))</f>
        <v/>
      </c>
      <c r="P27" s="25" t="n"/>
      <c r="Q27" s="28" t="n"/>
    </row>
    <row r="28">
      <c r="A28" s="25" t="n"/>
      <c r="B28" s="33">
        <f>IF(A28="","",TEXT(A28,"aaa"))</f>
        <v/>
      </c>
      <c r="C28" s="25" t="n"/>
      <c r="D28" s="25" t="n"/>
      <c r="E28" s="25" t="n"/>
      <c r="F28" s="26">
        <f>IF(OR(D28="",E28=""),"",D28*E28)</f>
        <v/>
      </c>
      <c r="G28" s="25" t="n"/>
      <c r="H28" s="25" t="n"/>
      <c r="I28" s="25" t="n"/>
      <c r="J28" s="25" t="n"/>
      <c r="K28" s="26">
        <f>IF(SUM(H28:J28)=0,"",H28*4+I28*9+J28*4)</f>
        <v/>
      </c>
      <c r="L28" s="27">
        <f>IF(C28="","",IF(OR(ISNUMBER(SEARCH("Day 1",C28)),ISNUMBER(SEARCH("Day 2",C28)),ISNUMBER(SEARCH("Day 4",C28)),ISNUMBER(SEARCH("Day 5",C28)),C28="方案A 全身"),'營養目標'!$F$10,'營養目標'!$F$11))</f>
        <v/>
      </c>
      <c r="M28" s="26">
        <f>IF(OR(K28="",L28=""),"",K28-L28)</f>
        <v/>
      </c>
      <c r="N28" s="27">
        <f>IF(H28="","",H28-'營養目標'!$C$10)</f>
        <v/>
      </c>
      <c r="O28" s="26">
        <f>IF(OR(K28="",L28=""),"",IF(AND(ABS(M28)&lt;=200,N28&gt;=-20,OR(G28="",G28&gt;=14)),"✓",IF(OR(ABS(M28)&gt;400,N28&lt;-40,AND(G28&lt;&gt;"",G28&lt;10)),"✗","⚠")))</f>
        <v/>
      </c>
      <c r="P28" s="25" t="n"/>
      <c r="Q28" s="28" t="n"/>
    </row>
    <row r="29">
      <c r="A29" s="25" t="n"/>
      <c r="B29" s="33">
        <f>IF(A29="","",TEXT(A29,"aaa"))</f>
        <v/>
      </c>
      <c r="C29" s="25" t="n"/>
      <c r="D29" s="25" t="n"/>
      <c r="E29" s="25" t="n"/>
      <c r="F29" s="26">
        <f>IF(OR(D29="",E29=""),"",D29*E29)</f>
        <v/>
      </c>
      <c r="G29" s="25" t="n"/>
      <c r="H29" s="25" t="n"/>
      <c r="I29" s="25" t="n"/>
      <c r="J29" s="25" t="n"/>
      <c r="K29" s="26">
        <f>IF(SUM(H29:J29)=0,"",H29*4+I29*9+J29*4)</f>
        <v/>
      </c>
      <c r="L29" s="27">
        <f>IF(C29="","",IF(OR(ISNUMBER(SEARCH("Day 1",C29)),ISNUMBER(SEARCH("Day 2",C29)),ISNUMBER(SEARCH("Day 4",C29)),ISNUMBER(SEARCH("Day 5",C29)),C29="方案A 全身"),'營養目標'!$F$10,'營養目標'!$F$11))</f>
        <v/>
      </c>
      <c r="M29" s="26">
        <f>IF(OR(K29="",L29=""),"",K29-L29)</f>
        <v/>
      </c>
      <c r="N29" s="27">
        <f>IF(H29="","",H29-'營養目標'!$C$10)</f>
        <v/>
      </c>
      <c r="O29" s="26">
        <f>IF(OR(K29="",L29=""),"",IF(AND(ABS(M29)&lt;=200,N29&gt;=-20,OR(G29="",G29&gt;=14)),"✓",IF(OR(ABS(M29)&gt;400,N29&lt;-40,AND(G29&lt;&gt;"",G29&lt;10)),"✗","⚠")))</f>
        <v/>
      </c>
      <c r="P29" s="25" t="n"/>
      <c r="Q29" s="28" t="n"/>
    </row>
    <row r="30">
      <c r="A30" s="25" t="n"/>
      <c r="B30" s="33">
        <f>IF(A30="","",TEXT(A30,"aaa"))</f>
        <v/>
      </c>
      <c r="C30" s="25" t="n"/>
      <c r="D30" s="25" t="n"/>
      <c r="E30" s="25" t="n"/>
      <c r="F30" s="26">
        <f>IF(OR(D30="",E30=""),"",D30*E30)</f>
        <v/>
      </c>
      <c r="G30" s="25" t="n"/>
      <c r="H30" s="25" t="n"/>
      <c r="I30" s="25" t="n"/>
      <c r="J30" s="25" t="n"/>
      <c r="K30" s="26">
        <f>IF(SUM(H30:J30)=0,"",H30*4+I30*9+J30*4)</f>
        <v/>
      </c>
      <c r="L30" s="27">
        <f>IF(C30="","",IF(OR(ISNUMBER(SEARCH("Day 1",C30)),ISNUMBER(SEARCH("Day 2",C30)),ISNUMBER(SEARCH("Day 4",C30)),ISNUMBER(SEARCH("Day 5",C30)),C30="方案A 全身"),'營養目標'!$F$10,'營養目標'!$F$11))</f>
        <v/>
      </c>
      <c r="M30" s="26">
        <f>IF(OR(K30="",L30=""),"",K30-L30)</f>
        <v/>
      </c>
      <c r="N30" s="27">
        <f>IF(H30="","",H30-'營養目標'!$C$10)</f>
        <v/>
      </c>
      <c r="O30" s="26">
        <f>IF(OR(K30="",L30=""),"",IF(AND(ABS(M30)&lt;=200,N30&gt;=-20,OR(G30="",G30&gt;=14)),"✓",IF(OR(ABS(M30)&gt;400,N30&lt;-40,AND(G30&lt;&gt;"",G30&lt;10)),"✗","⚠")))</f>
        <v/>
      </c>
      <c r="P30" s="25" t="n"/>
      <c r="Q30" s="28" t="n"/>
    </row>
    <row r="31">
      <c r="A31" s="25" t="n"/>
      <c r="B31" s="33">
        <f>IF(A31="","",TEXT(A31,"aaa"))</f>
        <v/>
      </c>
      <c r="C31" s="25" t="n"/>
      <c r="D31" s="25" t="n"/>
      <c r="E31" s="25" t="n"/>
      <c r="F31" s="26">
        <f>IF(OR(D31="",E31=""),"",D31*E31)</f>
        <v/>
      </c>
      <c r="G31" s="25" t="n"/>
      <c r="H31" s="25" t="n"/>
      <c r="I31" s="25" t="n"/>
      <c r="J31" s="25" t="n"/>
      <c r="K31" s="26">
        <f>IF(SUM(H31:J31)=0,"",H31*4+I31*9+J31*4)</f>
        <v/>
      </c>
      <c r="L31" s="27">
        <f>IF(C31="","",IF(OR(ISNUMBER(SEARCH("Day 1",C31)),ISNUMBER(SEARCH("Day 2",C31)),ISNUMBER(SEARCH("Day 4",C31)),ISNUMBER(SEARCH("Day 5",C31)),C31="方案A 全身"),'營養目標'!$F$10,'營養目標'!$F$11))</f>
        <v/>
      </c>
      <c r="M31" s="26">
        <f>IF(OR(K31="",L31=""),"",K31-L31)</f>
        <v/>
      </c>
      <c r="N31" s="27">
        <f>IF(H31="","",H31-'營養目標'!$C$10)</f>
        <v/>
      </c>
      <c r="O31" s="26">
        <f>IF(OR(K31="",L31=""),"",IF(AND(ABS(M31)&lt;=200,N31&gt;=-20,OR(G31="",G31&gt;=14)),"✓",IF(OR(ABS(M31)&gt;400,N31&lt;-40,AND(G31&lt;&gt;"",G31&lt;10)),"✗","⚠")))</f>
        <v/>
      </c>
      <c r="P31" s="25" t="n"/>
      <c r="Q31" s="28" t="n"/>
    </row>
    <row r="32">
      <c r="A32" s="25" t="n"/>
      <c r="B32" s="33">
        <f>IF(A32="","",TEXT(A32,"aaa"))</f>
        <v/>
      </c>
      <c r="C32" s="25" t="n"/>
      <c r="D32" s="25" t="n"/>
      <c r="E32" s="25" t="n"/>
      <c r="F32" s="26">
        <f>IF(OR(D32="",E32=""),"",D32*E32)</f>
        <v/>
      </c>
      <c r="G32" s="25" t="n"/>
      <c r="H32" s="25" t="n"/>
      <c r="I32" s="25" t="n"/>
      <c r="J32" s="25" t="n"/>
      <c r="K32" s="26">
        <f>IF(SUM(H32:J32)=0,"",H32*4+I32*9+J32*4)</f>
        <v/>
      </c>
      <c r="L32" s="27">
        <f>IF(C32="","",IF(OR(ISNUMBER(SEARCH("Day 1",C32)),ISNUMBER(SEARCH("Day 2",C32)),ISNUMBER(SEARCH("Day 4",C32)),ISNUMBER(SEARCH("Day 5",C32)),C32="方案A 全身"),'營養目標'!$F$10,'營養目標'!$F$11))</f>
        <v/>
      </c>
      <c r="M32" s="26">
        <f>IF(OR(K32="",L32=""),"",K32-L32)</f>
        <v/>
      </c>
      <c r="N32" s="27">
        <f>IF(H32="","",H32-'營養目標'!$C$10)</f>
        <v/>
      </c>
      <c r="O32" s="26">
        <f>IF(OR(K32="",L32=""),"",IF(AND(ABS(M32)&lt;=200,N32&gt;=-20,OR(G32="",G32&gt;=14)),"✓",IF(OR(ABS(M32)&gt;400,N32&lt;-40,AND(G32&lt;&gt;"",G32&lt;10)),"✗","⚠")))</f>
        <v/>
      </c>
      <c r="P32" s="25" t="n"/>
      <c r="Q32" s="28" t="n"/>
    </row>
    <row r="33">
      <c r="A33" s="29" t="n"/>
      <c r="B33" s="34">
        <f>IF(A33="","",TEXT(A33,"aaa"))</f>
        <v/>
      </c>
      <c r="C33" s="29" t="n"/>
      <c r="D33" s="29" t="n"/>
      <c r="E33" s="29" t="n"/>
      <c r="F33" s="30">
        <f>IF(OR(D33="",E33=""),"",D33*E33)</f>
        <v/>
      </c>
      <c r="G33" s="29" t="n"/>
      <c r="H33" s="29" t="n"/>
      <c r="I33" s="29" t="n"/>
      <c r="J33" s="29" t="n"/>
      <c r="K33" s="30">
        <f>IF(SUM(H33:J33)=0,"",H33*4+I33*9+J33*4)</f>
        <v/>
      </c>
      <c r="L33" s="31">
        <f>IF(C33="","",IF(OR(ISNUMBER(SEARCH("Day 1",C33)),ISNUMBER(SEARCH("Day 2",C33)),ISNUMBER(SEARCH("Day 4",C33)),ISNUMBER(SEARCH("Day 5",C33)),C33="方案A 全身"),'營養目標'!$F$10,'營養目標'!$F$11))</f>
        <v/>
      </c>
      <c r="M33" s="30">
        <f>IF(OR(K33="",L33=""),"",K33-L33)</f>
        <v/>
      </c>
      <c r="N33" s="31">
        <f>IF(H33="","",H33-'營養目標'!$C$10)</f>
        <v/>
      </c>
      <c r="O33" s="30">
        <f>IF(OR(K33="",L33=""),"",IF(AND(ABS(M33)&lt;=200,N33&gt;=-20,OR(G33="",G33&gt;=14)),"✓",IF(OR(ABS(M33)&gt;400,N33&lt;-40,AND(G33&lt;&gt;"",G33&lt;10)),"✗","⚠")))</f>
        <v/>
      </c>
      <c r="P33" s="29" t="n"/>
      <c r="Q33" s="32" t="n"/>
    </row>
    <row r="35" ht="22" customHeight="1">
      <c r="A35" s="3" t="inlineStr">
        <is>
          <t>■ 週彙總（自動）</t>
        </is>
      </c>
    </row>
    <row r="36" ht="30" customHeight="1">
      <c r="A36" s="12" t="inlineStr">
        <is>
          <t>週</t>
        </is>
      </c>
      <c r="B36" s="12" t="inlineStr">
        <is>
          <t>區間日</t>
        </is>
      </c>
      <c r="C36" s="12" t="inlineStr">
        <is>
          <t>訓練次</t>
        </is>
      </c>
      <c r="D36" s="12" t="inlineStr">
        <is>
          <t>總點數</t>
        </is>
      </c>
      <c r="E36" s="12" t="inlineStr">
        <is>
          <t>平均 S-RPE</t>
        </is>
      </c>
      <c r="F36" s="12" t="inlineStr">
        <is>
          <t>平均 kcal</t>
        </is>
      </c>
      <c r="G36" s="12" t="inlineStr">
        <is>
          <t>平均 P(g)</t>
        </is>
      </c>
      <c r="H36" s="12" t="inlineStr">
        <is>
          <t>平均 Ready</t>
        </is>
      </c>
      <c r="I36" s="12" t="inlineStr">
        <is>
          <t>週末體重</t>
        </is>
      </c>
      <c r="J36" s="12" t="inlineStr">
        <is>
          <t>ΔKg vs 上週</t>
        </is>
      </c>
      <c r="K36" s="12" t="inlineStr">
        <is>
          <t>ACWR</t>
        </is>
      </c>
      <c r="L36" s="12" t="inlineStr">
        <is>
          <t>達標日數 ✓</t>
        </is>
      </c>
      <c r="M36" s="12" t="inlineStr">
        <is>
          <t>評語</t>
        </is>
      </c>
    </row>
    <row r="37">
      <c r="A37" s="35" t="inlineStr">
        <is>
          <t>Week 1</t>
        </is>
      </c>
      <c r="B37" s="26">
        <f>IF(A6="","-",TEXT(A6,"m/d")&amp;" – "&amp;IF(A12="","",TEXT(A12,"m/d")))</f>
        <v/>
      </c>
      <c r="C37" s="26">
        <f>COUNTIF(C6:C12,"Day*")+COUNTIF(C6:C12,"方案A*")</f>
        <v/>
      </c>
      <c r="D37" s="26">
        <f>IFERROR(SUM(F6:F12),0)</f>
        <v/>
      </c>
      <c r="E37" s="26">
        <f>IFERROR(ROUND(AVERAGE(E6:E12),1),"")</f>
        <v/>
      </c>
      <c r="F37" s="26">
        <f>IFERROR(ROUND(AVERAGE(K6:K12),0),"")</f>
        <v/>
      </c>
      <c r="G37" s="26">
        <f>IFERROR(ROUND(AVERAGE(H6:H12),0),"")</f>
        <v/>
      </c>
      <c r="H37" s="26">
        <f>IFERROR(ROUND(AVERAGE(G6:G12),1),"")</f>
        <v/>
      </c>
      <c r="I37" s="26">
        <f>IFERROR(IF(MAX(P6:P12)=0,"",MAX(P6:P12)),"")</f>
        <v/>
      </c>
      <c r="J37" s="36" t="inlineStr">
        <is>
          <t>—</t>
        </is>
      </c>
      <c r="K37" s="26">
        <f>IFERROR(IF(D37=0,"",ROUND(D37/AVERAGE(D$37:D37),2)),"")</f>
        <v/>
      </c>
      <c r="L37" s="26">
        <f>COUNTIF(O6:O12,"✓")</f>
        <v/>
      </c>
      <c r="M37" s="37">
        <f>IF(D37=0,"待填",IF(K37&gt;1.3,"⚠ ACWR &gt; 1.3 強制 Deload",IF(K37&lt;0.8,"低負荷，可加碼",IF(L37&gt;=5,"✓ 達標佳","→ 注意飲食配合"))))</f>
        <v/>
      </c>
    </row>
    <row r="38">
      <c r="A38" s="35" t="inlineStr">
        <is>
          <t>Week 2</t>
        </is>
      </c>
      <c r="B38" s="26">
        <f>IF(A13="","-",TEXT(A13,"m/d")&amp;" – "&amp;IF(A19="","",TEXT(A19,"m/d")))</f>
        <v/>
      </c>
      <c r="C38" s="26">
        <f>COUNTIF(C13:C19,"Day*")+COUNTIF(C13:C19,"方案A*")</f>
        <v/>
      </c>
      <c r="D38" s="26">
        <f>IFERROR(SUM(F13:F19),0)</f>
        <v/>
      </c>
      <c r="E38" s="26">
        <f>IFERROR(ROUND(AVERAGE(E13:E19),1),"")</f>
        <v/>
      </c>
      <c r="F38" s="26">
        <f>IFERROR(ROUND(AVERAGE(K13:K19),0),"")</f>
        <v/>
      </c>
      <c r="G38" s="26">
        <f>IFERROR(ROUND(AVERAGE(H13:H19),0),"")</f>
        <v/>
      </c>
      <c r="H38" s="26">
        <f>IFERROR(ROUND(AVERAGE(G13:G19),1),"")</f>
        <v/>
      </c>
      <c r="I38" s="26">
        <f>IFERROR(IF(MAX(P13:P19)=0,"",MAX(P13:P19)),"")</f>
        <v/>
      </c>
      <c r="J38" s="26">
        <f>IFERROR(IF(OR(I38="",I37=""),"",ROUND(I38-I37,1)),"")</f>
        <v/>
      </c>
      <c r="K38" s="26">
        <f>IFERROR(IF(D38=0,"",ROUND(D38/AVERAGE(D$37:D38),2)),"")</f>
        <v/>
      </c>
      <c r="L38" s="26">
        <f>COUNTIF(O13:O19,"✓")</f>
        <v/>
      </c>
      <c r="M38" s="37">
        <f>IF(D38=0,"待填",IF(K38&gt;1.3,"⚠ ACWR &gt; 1.3 強制 Deload",IF(K38&lt;0.8,"低負荷，可加碼",IF(L38&gt;=5,"✓ 達標佳","→ 注意飲食配合"))))</f>
        <v/>
      </c>
    </row>
    <row r="39">
      <c r="A39" s="35" t="inlineStr">
        <is>
          <t>Week 3</t>
        </is>
      </c>
      <c r="B39" s="26">
        <f>IF(A20="","-",TEXT(A20,"m/d")&amp;" – "&amp;IF(A26="","",TEXT(A26,"m/d")))</f>
        <v/>
      </c>
      <c r="C39" s="26">
        <f>COUNTIF(C20:C26,"Day*")+COUNTIF(C20:C26,"方案A*")</f>
        <v/>
      </c>
      <c r="D39" s="26">
        <f>IFERROR(SUM(F20:F26),0)</f>
        <v/>
      </c>
      <c r="E39" s="26">
        <f>IFERROR(ROUND(AVERAGE(E20:E26),1),"")</f>
        <v/>
      </c>
      <c r="F39" s="26">
        <f>IFERROR(ROUND(AVERAGE(K20:K26),0),"")</f>
        <v/>
      </c>
      <c r="G39" s="26">
        <f>IFERROR(ROUND(AVERAGE(H20:H26),0),"")</f>
        <v/>
      </c>
      <c r="H39" s="26">
        <f>IFERROR(ROUND(AVERAGE(G20:G26),1),"")</f>
        <v/>
      </c>
      <c r="I39" s="26">
        <f>IFERROR(IF(MAX(P20:P26)=0,"",MAX(P20:P26)),"")</f>
        <v/>
      </c>
      <c r="J39" s="26">
        <f>IFERROR(IF(OR(I39="",I38=""),"",ROUND(I39-I38,1)),"")</f>
        <v/>
      </c>
      <c r="K39" s="26">
        <f>IFERROR(IF(D39=0,"",ROUND(D39/AVERAGE(D$37:D39),2)),"")</f>
        <v/>
      </c>
      <c r="L39" s="26">
        <f>COUNTIF(O20:O26,"✓")</f>
        <v/>
      </c>
      <c r="M39" s="37">
        <f>IF(D39=0,"待填",IF(K39&gt;1.3,"⚠ ACWR &gt; 1.3 強制 Deload",IF(K39&lt;0.8,"低負荷，可加碼",IF(L39&gt;=5,"✓ 達標佳","→ 注意飲食配合"))))</f>
        <v/>
      </c>
    </row>
    <row r="40">
      <c r="A40" s="35" t="inlineStr">
        <is>
          <t>Week 4</t>
        </is>
      </c>
      <c r="B40" s="26">
        <f>IF(A27="","-",TEXT(A27,"m/d")&amp;" – "&amp;IF(A33="","",TEXT(A33,"m/d")))</f>
        <v/>
      </c>
      <c r="C40" s="26">
        <f>COUNTIF(C27:C33,"Day*")+COUNTIF(C27:C33,"方案A*")</f>
        <v/>
      </c>
      <c r="D40" s="26">
        <f>IFERROR(SUM(F27:F33),0)</f>
        <v/>
      </c>
      <c r="E40" s="26">
        <f>IFERROR(ROUND(AVERAGE(E27:E33),1),"")</f>
        <v/>
      </c>
      <c r="F40" s="26">
        <f>IFERROR(ROUND(AVERAGE(K27:K33),0),"")</f>
        <v/>
      </c>
      <c r="G40" s="26">
        <f>IFERROR(ROUND(AVERAGE(H27:H33),0),"")</f>
        <v/>
      </c>
      <c r="H40" s="26">
        <f>IFERROR(ROUND(AVERAGE(G27:G33),1),"")</f>
        <v/>
      </c>
      <c r="I40" s="26">
        <f>IFERROR(IF(MAX(P27:P33)=0,"",MAX(P27:P33)),"")</f>
        <v/>
      </c>
      <c r="J40" s="26">
        <f>IFERROR(IF(OR(I40="",I39=""),"",ROUND(I40-I39,1)),"")</f>
        <v/>
      </c>
      <c r="K40" s="26">
        <f>IFERROR(IF(D40=0,"",ROUND(D40/AVERAGE(D$37:D40),2)),"")</f>
        <v/>
      </c>
      <c r="L40" s="26">
        <f>COUNTIF(O27:O33,"✓")</f>
        <v/>
      </c>
      <c r="M40" s="37">
        <f>IF(D40=0,"待填",IF(K40&gt;1.3,"⚠ ACWR &gt; 1.3 強制 Deload",IF(K40&lt;0.8,"低負荷，可加碼",IF(L40&gt;=5,"✓ 達標佳","→ 注意飲食配合"))))</f>
        <v/>
      </c>
    </row>
    <row r="41">
      <c r="A41" s="38" t="inlineStr">
        <is>
          <t>4 週總計</t>
        </is>
      </c>
      <c r="B41" s="39" t="inlineStr"/>
      <c r="C41" s="40">
        <f>SUM(C37:C40)</f>
        <v/>
      </c>
      <c r="D41" s="40">
        <f>SUM(D37:D40)</f>
        <v/>
      </c>
      <c r="E41" s="40">
        <f>IFERROR(ROUND(AVERAGE(E37:E40),1),"")</f>
        <v/>
      </c>
      <c r="F41" s="40">
        <f>IFERROR(ROUND(AVERAGE(F37:F40),0),"")</f>
        <v/>
      </c>
      <c r="G41" s="40">
        <f>IFERROR(ROUND(AVERAGE(G37:G40),0),"")</f>
        <v/>
      </c>
      <c r="H41" s="40">
        <f>IFERROR(ROUND(AVERAGE(H37:H40),1),"")</f>
        <v/>
      </c>
      <c r="I41" s="39" t="inlineStr"/>
      <c r="J41" s="40">
        <f>IFERROR(IF(OR(I40="",I37=""),"",ROUND(I40-I37,1)),"")</f>
        <v/>
      </c>
      <c r="K41" s="39" t="inlineStr"/>
      <c r="L41" s="40">
        <f>SUM(L37:L40)</f>
        <v/>
      </c>
      <c r="M41" s="39" t="inlineStr"/>
    </row>
    <row r="43">
      <c r="A43" s="3" t="inlineStr">
        <is>
          <t>■ ACWR 解讀 (Acute / Chronic Workload Ratio)</t>
        </is>
      </c>
    </row>
    <row r="44">
      <c r="B44" s="35" t="inlineStr">
        <is>
          <t>&lt; 0.8</t>
        </is>
      </c>
      <c r="C44" s="35" t="inlineStr">
        <is>
          <t>低負荷區</t>
        </is>
      </c>
      <c r="D44" s="37" t="inlineStr">
        <is>
          <t>適合加碼：增量 5-10% 或加 1 組</t>
        </is>
      </c>
    </row>
    <row r="45">
      <c r="B45" s="35" t="inlineStr">
        <is>
          <t>0.8 – 1.3</t>
        </is>
      </c>
      <c r="C45" s="35" t="inlineStr">
        <is>
          <t>安全甜蜜帶</t>
        </is>
      </c>
      <c r="D45" s="37" t="inlineStr">
        <is>
          <t>繼續執行，保持節奏</t>
        </is>
      </c>
    </row>
    <row r="46">
      <c r="B46" s="35" t="inlineStr">
        <is>
          <t>1.3 – 1.5</t>
        </is>
      </c>
      <c r="C46" s="35" t="inlineStr">
        <is>
          <t>高風險</t>
        </is>
      </c>
      <c r="D46" s="37" t="inlineStr">
        <is>
          <t>下週應 deload 或保持當週重量</t>
        </is>
      </c>
    </row>
    <row r="47">
      <c r="B47" s="35" t="inlineStr">
        <is>
          <t>&gt; 1.5</t>
        </is>
      </c>
      <c r="C47" s="35" t="inlineStr">
        <is>
          <t>傷害高風險</t>
        </is>
      </c>
      <c r="D47" s="37" t="inlineStr">
        <is>
          <t>強制 deload：強度 ↓60%、組數 ↓40%</t>
        </is>
      </c>
    </row>
    <row r="49">
      <c r="A49" s="3" t="inlineStr">
        <is>
          <t>■ 達標摘要</t>
        </is>
      </c>
    </row>
    <row r="50">
      <c r="B50" s="41" t="inlineStr">
        <is>
          <t>累計訓練次數</t>
        </is>
      </c>
      <c r="C50" s="42" t="n"/>
      <c r="D50" s="26">
        <f>COUNTIF(C6:C33,"Day*")+COUNTIF(C6:C33,"方案A*")</f>
        <v/>
      </c>
    </row>
    <row r="51">
      <c r="B51" s="41" t="inlineStr">
        <is>
          <t>累計總訓練點數</t>
        </is>
      </c>
      <c r="C51" s="42" t="n"/>
      <c r="D51" s="26">
        <f>IFERROR(SUM(F6:F33),0)</f>
        <v/>
      </c>
    </row>
    <row r="52">
      <c r="B52" s="41" t="inlineStr">
        <is>
          <t>✓ 達標日數</t>
        </is>
      </c>
      <c r="C52" s="42" t="n"/>
      <c r="D52" s="26">
        <f>COUNTIF(O6:O33,"✓")</f>
        <v/>
      </c>
    </row>
    <row r="53">
      <c r="B53" s="41" t="inlineStr">
        <is>
          <t>⚠ 警示日數</t>
        </is>
      </c>
      <c r="C53" s="42" t="n"/>
      <c r="D53" s="26">
        <f>COUNTIF(O6:O33,"⚠")</f>
        <v/>
      </c>
    </row>
    <row r="54">
      <c r="B54" s="41" t="inlineStr">
        <is>
          <t>✗ 未達標日數</t>
        </is>
      </c>
      <c r="C54" s="42" t="n"/>
      <c r="D54" s="26">
        <f>COUNTIF(O6:O33,"✗")</f>
        <v/>
      </c>
    </row>
    <row r="55">
      <c r="B55" s="41" t="inlineStr">
        <is>
          <t>平均 ΔKcal (kcal)</t>
        </is>
      </c>
      <c r="C55" s="42" t="n"/>
      <c r="D55" s="26">
        <f>IFERROR(ROUND(AVERAGE(M6:M33),0),"")</f>
        <v/>
      </c>
    </row>
    <row r="56">
      <c r="B56" s="41" t="inlineStr">
        <is>
          <t>平均 ΔP (g)</t>
        </is>
      </c>
      <c r="C56" s="42" t="n"/>
      <c r="D56" s="26">
        <f>IFERROR(ROUND(AVERAGE(N6:N33),0),"")</f>
        <v/>
      </c>
    </row>
    <row r="57">
      <c r="B57" s="41" t="inlineStr">
        <is>
          <t>4 週體重總變化 (kg)</t>
        </is>
      </c>
      <c r="C57" s="42" t="n"/>
      <c r="D57" s="26">
        <f>IFERROR(ROUND(MAX(P6:P33)-MIN(IF(P6:P33&gt;0,P6:P33)),1),"")</f>
        <v/>
      </c>
    </row>
    <row r="58">
      <c r="B58" s="43" t="inlineStr">
        <is>
          <t>使用提示：
1) 訓練類型欄為下拉選單，選對類型才能正確比對熱量目標。
2) 體重欄一週填一次（建議週日晨起空腹）；其他天留空即可。
3) 連續 3 日狀態為 ✗ → 強制隔日改主動恢復或睡眠補足。
4) ACWR 第 1 週為基準值（=1），自第 2 週起才有比對意義。</t>
        </is>
      </c>
    </row>
    <row r="59"/>
    <row r="60"/>
  </sheetData>
  <mergeCells count="19">
    <mergeCell ref="B54:C54"/>
    <mergeCell ref="B58:M60"/>
    <mergeCell ref="B56:C56"/>
    <mergeCell ref="A49:Q49"/>
    <mergeCell ref="A1:Q1"/>
    <mergeCell ref="B52:C52"/>
    <mergeCell ref="D44:M44"/>
    <mergeCell ref="B57:C57"/>
    <mergeCell ref="B53:C53"/>
    <mergeCell ref="D46:M46"/>
    <mergeCell ref="D45:M45"/>
    <mergeCell ref="A2:Q2"/>
    <mergeCell ref="B55:C55"/>
    <mergeCell ref="B51:C51"/>
    <mergeCell ref="A35:Q35"/>
    <mergeCell ref="A4:Q4"/>
    <mergeCell ref="A43:Q43"/>
    <mergeCell ref="D47:M47"/>
    <mergeCell ref="B50:C50"/>
  </mergeCells>
  <conditionalFormatting sqref="O6:O33">
    <cfRule type="expression" priority="1" dxfId="1">
      <formula>O6="✓"</formula>
    </cfRule>
    <cfRule type="expression" priority="2" dxfId="2">
      <formula>O6="⚠"</formula>
    </cfRule>
    <cfRule type="expression" priority="3" dxfId="0">
      <formula>O6="✗"</formula>
    </cfRule>
  </conditionalFormatting>
  <dataValidations count="1">
    <dataValidation sqref="C6:C33" showDropDown="0" showInputMessage="0" showErrorMessage="0" allowBlank="1" type="list">
      <formula1>"Day 1 推,Day 2 腿A,Day 3 主動恢復,Day 4 拉,Day 5 腿B,方案A 全身,休息"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30" customWidth="1" min="9" max="9"/>
  </cols>
  <sheetData>
    <row r="1" ht="28" customHeight="1">
      <c r="A1" s="1" t="inlineStr">
        <is>
          <t>重量速查表（已對 2.5kg 四捨五入）</t>
        </is>
      </c>
    </row>
    <row r="2">
      <c r="A2" s="2" t="inlineStr">
        <is>
          <t>公式 = MROUND(1RM × 強度 %, 2.5)；1RM 取自『個人資料』分頁。</t>
        </is>
      </c>
    </row>
    <row r="4" ht="32" customHeight="1">
      <c r="A4" s="12" t="inlineStr">
        <is>
          <t>#</t>
        </is>
      </c>
      <c r="B4" s="12" t="inlineStr">
        <is>
          <t>動作</t>
        </is>
      </c>
      <c r="C4" s="12" t="inlineStr">
        <is>
          <t>1RM (kg)</t>
        </is>
      </c>
      <c r="D4" s="12" t="inlineStr">
        <is>
          <t>70%</t>
        </is>
      </c>
      <c r="E4" s="12" t="inlineStr">
        <is>
          <t>72%</t>
        </is>
      </c>
      <c r="F4" s="12" t="inlineStr">
        <is>
          <t>75%</t>
        </is>
      </c>
      <c r="G4" s="12" t="inlineStr">
        <is>
          <t>77.5%</t>
        </is>
      </c>
      <c r="H4" s="12" t="inlineStr">
        <is>
          <t>80%</t>
        </is>
      </c>
      <c r="I4" s="12" t="inlineStr">
        <is>
          <t>使用場景</t>
        </is>
      </c>
    </row>
    <row r="5">
      <c r="A5" s="14" t="n">
        <v>1</v>
      </c>
      <c r="B5" s="15" t="inlineStr">
        <is>
          <t>槓鈴平板臥推</t>
        </is>
      </c>
      <c r="C5" s="7">
        <f>'個人資料'!C14</f>
        <v/>
      </c>
      <c r="D5" s="8">
        <f>MROUND(C5*0.7,2.5)</f>
        <v/>
      </c>
      <c r="E5" s="8">
        <f>MROUND(C5*0.72,2.5)</f>
        <v/>
      </c>
      <c r="F5" s="8">
        <f>MROUND(C5*0.75,2.5)</f>
        <v/>
      </c>
      <c r="G5" s="8">
        <f>MROUND(C5*0.775,2.5)</f>
        <v/>
      </c>
      <c r="H5" s="8">
        <f>MROUND(C5*0.8,2.5)</f>
        <v/>
      </c>
      <c r="I5" s="11" t="inlineStr">
        <is>
          <t>Day1 主動作；初學期 70-75%</t>
        </is>
      </c>
    </row>
    <row r="6">
      <c r="A6" s="14" t="n">
        <v>2</v>
      </c>
      <c r="B6" s="15" t="inlineStr">
        <is>
          <t>槓鈴背蹲（高槓）</t>
        </is>
      </c>
      <c r="C6" s="7">
        <f>'個人資料'!C15</f>
        <v/>
      </c>
      <c r="D6" s="8">
        <f>MROUND(C6*0.7,2.5)</f>
        <v/>
      </c>
      <c r="E6" s="8">
        <f>MROUND(C6*0.72,2.5)</f>
        <v/>
      </c>
      <c r="F6" s="8">
        <f>MROUND(C6*0.75,2.5)</f>
        <v/>
      </c>
      <c r="G6" s="8">
        <f>MROUND(C6*0.775,2.5)</f>
        <v/>
      </c>
      <c r="H6" s="8">
        <f>MROUND(C6*0.8,2.5)</f>
        <v/>
      </c>
      <c r="I6" s="11" t="inlineStr">
        <is>
          <t>Day2 主動作；80% 重點</t>
        </is>
      </c>
    </row>
    <row r="7">
      <c r="A7" s="14" t="n">
        <v>3</v>
      </c>
      <c r="B7" s="15" t="inlineStr">
        <is>
          <t>傳統硬舉</t>
        </is>
      </c>
      <c r="C7" s="7">
        <f>'個人資料'!C16</f>
        <v/>
      </c>
      <c r="D7" s="8">
        <f>MROUND(C7*0.7,2.5)</f>
        <v/>
      </c>
      <c r="E7" s="8">
        <f>MROUND(C7*0.72,2.5)</f>
        <v/>
      </c>
      <c r="F7" s="8">
        <f>MROUND(C7*0.75,2.5)</f>
        <v/>
      </c>
      <c r="G7" s="8">
        <f>MROUND(C7*0.775,2.5)</f>
        <v/>
      </c>
      <c r="H7" s="8">
        <f>MROUND(C7*0.8,2.5)</f>
        <v/>
      </c>
      <c r="I7" s="11" t="inlineStr">
        <is>
          <t>Day5 主動作；4-6 下 80%</t>
        </is>
      </c>
    </row>
    <row r="8">
      <c r="A8" s="14" t="n">
        <v>4</v>
      </c>
      <c r="B8" s="15" t="inlineStr">
        <is>
          <t>槓鈴肩推（坐姿）</t>
        </is>
      </c>
      <c r="C8" s="7">
        <f>'個人資料'!C17</f>
        <v/>
      </c>
      <c r="D8" s="8">
        <f>MROUND(C8*0.7,2.5)</f>
        <v/>
      </c>
      <c r="E8" s="8">
        <f>MROUND(C8*0.72,2.5)</f>
        <v/>
      </c>
      <c r="F8" s="8">
        <f>MROUND(C8*0.75,2.5)</f>
        <v/>
      </c>
      <c r="G8" s="8">
        <f>MROUND(C8*0.775,2.5)</f>
        <v/>
      </c>
      <c r="H8" s="8">
        <f>MROUND(C8*0.8,2.5)</f>
        <v/>
      </c>
      <c r="I8" s="11" t="inlineStr">
        <is>
          <t>Day1 第二項；72-75%</t>
        </is>
      </c>
    </row>
    <row r="9">
      <c r="A9" s="14" t="n">
        <v>5</v>
      </c>
      <c r="B9" s="15" t="inlineStr">
        <is>
          <t>槓鈴俯身划船</t>
        </is>
      </c>
      <c r="C9" s="7">
        <f>'個人資料'!C18</f>
        <v/>
      </c>
      <c r="D9" s="8">
        <f>MROUND(C9*0.7,2.5)</f>
        <v/>
      </c>
      <c r="E9" s="8">
        <f>MROUND(C9*0.72,2.5)</f>
        <v/>
      </c>
      <c r="F9" s="8">
        <f>MROUND(C9*0.75,2.5)</f>
        <v/>
      </c>
      <c r="G9" s="8">
        <f>MROUND(C9*0.775,2.5)</f>
        <v/>
      </c>
      <c r="H9" s="8">
        <f>MROUND(C9*0.8,2.5)</f>
        <v/>
      </c>
      <c r="I9" s="11" t="inlineStr">
        <is>
          <t>Day4 主動作；75%</t>
        </is>
      </c>
    </row>
    <row r="10">
      <c r="A10" s="14" t="n">
        <v>6</v>
      </c>
      <c r="B10" s="15" t="inlineStr">
        <is>
          <t>前蹲</t>
        </is>
      </c>
      <c r="C10" s="7">
        <f>'個人資料'!C19</f>
        <v/>
      </c>
      <c r="D10" s="8">
        <f>MROUND(C10*0.7,2.5)</f>
        <v/>
      </c>
      <c r="E10" s="8">
        <f>MROUND(C10*0.72,2.5)</f>
        <v/>
      </c>
      <c r="F10" s="8">
        <f>MROUND(C10*0.75,2.5)</f>
        <v/>
      </c>
      <c r="G10" s="8">
        <f>MROUND(C10*0.775,2.5)</f>
        <v/>
      </c>
      <c r="H10" s="8">
        <f>MROUND(C10*0.8,2.5)</f>
        <v/>
      </c>
      <c r="I10" s="11" t="inlineStr">
        <is>
          <t>Day5 第二項；75%</t>
        </is>
      </c>
    </row>
    <row r="11">
      <c r="A11" s="14" t="n">
        <v>7</v>
      </c>
      <c r="B11" s="15" t="inlineStr">
        <is>
          <t>羅馬尼亞硬舉</t>
        </is>
      </c>
      <c r="C11" s="7">
        <f>'個人資料'!C20</f>
        <v/>
      </c>
      <c r="D11" s="8">
        <f>MROUND(C11*0.7,2.5)</f>
        <v/>
      </c>
      <c r="E11" s="8">
        <f>MROUND(C11*0.72,2.5)</f>
        <v/>
      </c>
      <c r="F11" s="8">
        <f>MROUND(C11*0.75,2.5)</f>
        <v/>
      </c>
      <c r="G11" s="8">
        <f>MROUND(C11*0.775,2.5)</f>
        <v/>
      </c>
      <c r="H11" s="8">
        <f>MROUND(C11*0.8,2.5)</f>
        <v/>
      </c>
      <c r="I11" s="11" t="inlineStr">
        <is>
          <t>Day2 第二項；75%</t>
        </is>
      </c>
    </row>
    <row r="12">
      <c r="A12" s="14" t="n">
        <v>8</v>
      </c>
      <c r="B12" s="15" t="inlineStr">
        <is>
          <t>槓鈴髖推</t>
        </is>
      </c>
      <c r="C12" s="7">
        <f>'個人資料'!C21</f>
        <v/>
      </c>
      <c r="D12" s="8">
        <f>MROUND(C12*0.7,2.5)</f>
        <v/>
      </c>
      <c r="E12" s="8">
        <f>MROUND(C12*0.72,2.5)</f>
        <v/>
      </c>
      <c r="F12" s="8">
        <f>MROUND(C12*0.75,2.5)</f>
        <v/>
      </c>
      <c r="G12" s="8">
        <f>MROUND(C12*0.775,2.5)</f>
        <v/>
      </c>
      <c r="H12" s="8">
        <f>MROUND(C12*0.8,2.5)</f>
        <v/>
      </c>
      <c r="I12" s="11" t="inlineStr">
        <is>
          <t>Day5 第三項；80%</t>
        </is>
      </c>
    </row>
    <row r="13">
      <c r="A13" s="14" t="n">
        <v>9</v>
      </c>
      <c r="B13" s="15" t="inlineStr">
        <is>
          <t>引體向上（含加重）</t>
        </is>
      </c>
      <c r="C13" s="7">
        <f>'個人資料'!C22</f>
        <v/>
      </c>
      <c r="D13" s="8">
        <f>MROUND(C13*0.7,2.5)</f>
        <v/>
      </c>
      <c r="E13" s="8">
        <f>MROUND(C13*0.72,2.5)</f>
        <v/>
      </c>
      <c r="F13" s="8">
        <f>MROUND(C13*0.75,2.5)</f>
        <v/>
      </c>
      <c r="G13" s="8">
        <f>MROUND(C13*0.775,2.5)</f>
        <v/>
      </c>
      <c r="H13" s="8">
        <f>MROUND(C13*0.8,2.5)</f>
        <v/>
      </c>
      <c r="I13" s="11" t="inlineStr">
        <is>
          <t>Day4 主動作；可加負重至 BW+X</t>
        </is>
      </c>
    </row>
    <row r="14">
      <c r="A14" s="14" t="n">
        <v>10</v>
      </c>
      <c r="B14" s="15" t="inlineStr">
        <is>
          <t>雙槓撐體（含加重）</t>
        </is>
      </c>
      <c r="C14" s="7">
        <f>'個人資料'!C23</f>
        <v/>
      </c>
      <c r="D14" s="8">
        <f>MROUND(C14*0.7,2.5)</f>
        <v/>
      </c>
      <c r="E14" s="8">
        <f>MROUND(C14*0.72,2.5)</f>
        <v/>
      </c>
      <c r="F14" s="8">
        <f>MROUND(C14*0.75,2.5)</f>
        <v/>
      </c>
      <c r="G14" s="8">
        <f>MROUND(C14*0.775,2.5)</f>
        <v/>
      </c>
      <c r="H14" s="8">
        <f>MROUND(C14*0.8,2.5)</f>
        <v/>
      </c>
      <c r="I14" s="11" t="inlineStr">
        <is>
          <t>Day1 第四項；可加負重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0" customWidth="1" min="4" max="4"/>
    <col width="12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</cols>
  <sheetData>
    <row r="1" ht="28" customHeight="1">
      <c r="A1" s="1" t="inlineStr">
        <is>
          <t>Day 1｜上肢推（水平 + 垂直）</t>
        </is>
      </c>
    </row>
    <row r="2">
      <c r="A2" s="2" t="inlineStr">
        <is>
          <t>強度 75% 1RM｜目標 RPE 8｜訓練時長約 60 分</t>
        </is>
      </c>
    </row>
    <row r="4" ht="22" customHeight="1">
      <c r="A4" s="3" t="inlineStr">
        <is>
          <t>■ 訓練菜單（目標重量自動帶入）</t>
        </is>
      </c>
    </row>
    <row r="5" ht="32" customHeight="1">
      <c r="A5" s="12" t="inlineStr">
        <is>
          <t>#</t>
        </is>
      </c>
      <c r="B5" s="12" t="inlineStr">
        <is>
          <t>動作</t>
        </is>
      </c>
      <c r="C5" s="12" t="inlineStr">
        <is>
          <t>組×次</t>
        </is>
      </c>
      <c r="D5" s="12" t="inlineStr">
        <is>
          <t>強度</t>
        </is>
      </c>
      <c r="E5" s="12" t="inlineStr">
        <is>
          <t>目標 kg</t>
        </is>
      </c>
      <c r="F5" s="12" t="inlineStr">
        <is>
          <t>目標 RPE</t>
        </is>
      </c>
      <c r="G5" s="12" t="inlineStr">
        <is>
          <t>組 1</t>
        </is>
      </c>
      <c r="H5" s="12" t="inlineStr">
        <is>
          <t>組 2</t>
        </is>
      </c>
      <c r="I5" s="12" t="inlineStr">
        <is>
          <t>組 3</t>
        </is>
      </c>
      <c r="J5" s="12" t="inlineStr">
        <is>
          <t>組 4</t>
        </is>
      </c>
      <c r="K5" s="12" t="inlineStr">
        <is>
          <t>備註 / 組間休息</t>
        </is>
      </c>
    </row>
    <row r="6">
      <c r="A6" s="14" t="n">
        <v>1</v>
      </c>
      <c r="B6" s="15" t="inlineStr">
        <is>
          <t>槓鈴平板臥推</t>
        </is>
      </c>
      <c r="C6" s="14" t="inlineStr">
        <is>
          <t>4 × 6-8</t>
        </is>
      </c>
      <c r="D6" s="14" t="inlineStr">
        <is>
          <t>75% 1RM</t>
        </is>
      </c>
      <c r="E6" s="7">
        <f>'重量速查'!F5</f>
        <v/>
      </c>
      <c r="F6" s="14" t="n">
        <v>8</v>
      </c>
      <c r="G6" s="6" t="n"/>
      <c r="H6" s="6" t="n"/>
      <c r="I6" s="6" t="n"/>
      <c r="J6" s="6" t="n"/>
      <c r="K6" s="15" t="inlineStr">
        <is>
          <t>Full ROM 觸胸；組間 2-3 分鐘</t>
        </is>
      </c>
    </row>
    <row r="7">
      <c r="A7" s="14" t="n">
        <v>2</v>
      </c>
      <c r="B7" s="15" t="inlineStr">
        <is>
          <t>坐姿槓鈴肩推</t>
        </is>
      </c>
      <c r="C7" s="14" t="inlineStr">
        <is>
          <t>4 × 8-10</t>
        </is>
      </c>
      <c r="D7" s="14" t="inlineStr">
        <is>
          <t>72% 1RM</t>
        </is>
      </c>
      <c r="E7" s="7">
        <f>'重量速查'!E8</f>
        <v/>
      </c>
      <c r="F7" s="14" t="n">
        <v>8</v>
      </c>
      <c r="G7" s="6" t="n"/>
      <c r="H7" s="6" t="n"/>
      <c r="I7" s="6" t="n"/>
      <c r="J7" s="6" t="n"/>
      <c r="K7" s="15" t="inlineStr">
        <is>
          <t>過頂鎖定；組間 2 分鐘</t>
        </is>
      </c>
    </row>
    <row r="8">
      <c r="A8" s="14" t="n">
        <v>3</v>
      </c>
      <c r="B8" s="15" t="inlineStr">
        <is>
          <t>上斜啞鈴臥推 30°</t>
        </is>
      </c>
      <c r="C8" s="14" t="inlineStr">
        <is>
          <t>3 × 8-10</t>
        </is>
      </c>
      <c r="D8" s="14" t="inlineStr">
        <is>
          <t>70% 1RM 對應</t>
        </is>
      </c>
      <c r="E8" s="8" t="n">
        <v>32.5</v>
      </c>
      <c r="F8" s="14" t="n">
        <v>8</v>
      </c>
      <c r="G8" s="6" t="n"/>
      <c r="H8" s="6" t="n"/>
      <c r="I8" s="6" t="n"/>
      <c r="J8" s="6" t="n"/>
      <c r="K8" s="15" t="inlineStr">
        <is>
          <t>單手啞鈴重量（kg）；組間 90 秒</t>
        </is>
      </c>
    </row>
    <row r="9">
      <c r="A9" s="14" t="n">
        <v>4</v>
      </c>
      <c r="B9" s="15" t="inlineStr">
        <is>
          <t>雙槓撐體（加重）</t>
        </is>
      </c>
      <c r="C9" s="14" t="inlineStr">
        <is>
          <t>3 × 8-10</t>
        </is>
      </c>
      <c r="D9" s="14" t="inlineStr">
        <is>
          <t>RPE 控</t>
        </is>
      </c>
      <c r="E9" s="13" t="inlineStr">
        <is>
          <t>RPE 控</t>
        </is>
      </c>
      <c r="F9" s="14" t="n">
        <v>8</v>
      </c>
      <c r="G9" s="6" t="n"/>
      <c r="H9" s="6" t="n"/>
      <c r="I9" s="6" t="n"/>
      <c r="J9" s="6" t="n"/>
      <c r="K9" s="15" t="inlineStr">
        <is>
          <t>RPE 8（剩 2 下保留）；組間 90 秒</t>
        </is>
      </c>
    </row>
    <row r="10">
      <c r="A10" s="14" t="n">
        <v>5</v>
      </c>
      <c r="B10" s="15" t="inlineStr">
        <is>
          <t>繩索三頭下壓</t>
        </is>
      </c>
      <c r="C10" s="14" t="inlineStr">
        <is>
          <t>3 × 10-12</t>
        </is>
      </c>
      <c r="D10" s="14" t="inlineStr">
        <is>
          <t>RPE 控</t>
        </is>
      </c>
      <c r="E10" s="13" t="inlineStr">
        <is>
          <t>RPE 控</t>
        </is>
      </c>
      <c r="F10" s="14" t="n">
        <v>8</v>
      </c>
      <c r="G10" s="6" t="n"/>
      <c r="H10" s="6" t="n"/>
      <c r="I10" s="6" t="n"/>
      <c r="J10" s="6" t="n"/>
      <c r="K10" s="15" t="inlineStr">
        <is>
          <t>肘穩定夾體側；組間 60 秒</t>
        </is>
      </c>
    </row>
    <row r="11">
      <c r="A11" s="14" t="n">
        <v>6</v>
      </c>
      <c r="B11" s="15" t="inlineStr">
        <is>
          <t>啞鈴側平舉</t>
        </is>
      </c>
      <c r="C11" s="14" t="inlineStr">
        <is>
          <t>3 × 12-15</t>
        </is>
      </c>
      <c r="D11" s="14" t="inlineStr">
        <is>
          <t>RPE 控</t>
        </is>
      </c>
      <c r="E11" s="13" t="inlineStr">
        <is>
          <t>RPE 控</t>
        </is>
      </c>
      <c r="F11" s="14" t="n">
        <v>9</v>
      </c>
      <c r="G11" s="6" t="n"/>
      <c r="H11" s="6" t="n"/>
      <c r="I11" s="6" t="n"/>
      <c r="J11" s="6" t="n"/>
      <c r="K11" s="15" t="inlineStr">
        <is>
          <t>單手啞鈴 8-12kg 起；組間 60 秒</t>
        </is>
      </c>
    </row>
    <row r="13" ht="22" customHeight="1">
      <c r="A13" s="3" t="inlineStr">
        <is>
          <t>■ 本次訓練 Session 紀錄</t>
        </is>
      </c>
    </row>
    <row r="14">
      <c r="B14" s="12" t="inlineStr">
        <is>
          <t>日期</t>
        </is>
      </c>
      <c r="C14" s="12" t="inlineStr">
        <is>
          <t>訓練分鐘</t>
        </is>
      </c>
      <c r="D14" s="12" t="inlineStr">
        <is>
          <t>Session-RPE</t>
        </is>
      </c>
      <c r="E14" s="12" t="inlineStr">
        <is>
          <t>訓練點數</t>
        </is>
      </c>
      <c r="F14" s="12" t="inlineStr">
        <is>
          <t>Readiness 分數</t>
        </is>
      </c>
      <c r="G14" s="12" t="inlineStr">
        <is>
          <t>備註</t>
        </is>
      </c>
    </row>
    <row r="15">
      <c r="B15" s="6" t="n"/>
      <c r="C15" s="6" t="n"/>
      <c r="D15" s="6" t="n"/>
      <c r="E15" s="16">
        <f>C15*D15</f>
        <v/>
      </c>
      <c r="F15" s="6" t="n"/>
      <c r="G15" s="6" t="n"/>
    </row>
    <row r="17">
      <c r="B17" s="17" t="inlineStr">
        <is>
          <t>提醒：1) 主要動作優先做（神經系統最清醒）；2) 熱身：5 分有氧 + 空槓 + 60%×5 + 80%×3；3) 連續 3 次 Session-RPE 點數高於 4 週平均 130% → 強制 deload。</t>
        </is>
      </c>
    </row>
    <row r="18"/>
    <row r="19"/>
  </sheetData>
  <mergeCells count="5">
    <mergeCell ref="A4:K4"/>
    <mergeCell ref="B17:K19"/>
    <mergeCell ref="A2:K2"/>
    <mergeCell ref="A13:K13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0" customWidth="1" min="4" max="4"/>
    <col width="12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</cols>
  <sheetData>
    <row r="1" ht="28" customHeight="1">
      <c r="A1" s="1" t="inlineStr">
        <is>
          <t>Day 2｜下肢多關節（強攻第二型快縮肌）</t>
        </is>
      </c>
    </row>
    <row r="2">
      <c r="A2" s="2" t="inlineStr">
        <is>
          <t>強度 80% 1RM｜目標 RPE 8.5｜訓練時長約 70 分</t>
        </is>
      </c>
    </row>
    <row r="4" ht="22" customHeight="1">
      <c r="A4" s="3" t="inlineStr">
        <is>
          <t>■ 訓練菜單（目標重量自動帶入）</t>
        </is>
      </c>
    </row>
    <row r="5" ht="32" customHeight="1">
      <c r="A5" s="12" t="inlineStr">
        <is>
          <t>#</t>
        </is>
      </c>
      <c r="B5" s="12" t="inlineStr">
        <is>
          <t>動作</t>
        </is>
      </c>
      <c r="C5" s="12" t="inlineStr">
        <is>
          <t>組×次</t>
        </is>
      </c>
      <c r="D5" s="12" t="inlineStr">
        <is>
          <t>強度</t>
        </is>
      </c>
      <c r="E5" s="12" t="inlineStr">
        <is>
          <t>目標 kg</t>
        </is>
      </c>
      <c r="F5" s="12" t="inlineStr">
        <is>
          <t>目標 RPE</t>
        </is>
      </c>
      <c r="G5" s="12" t="inlineStr">
        <is>
          <t>組 1</t>
        </is>
      </c>
      <c r="H5" s="12" t="inlineStr">
        <is>
          <t>組 2</t>
        </is>
      </c>
      <c r="I5" s="12" t="inlineStr">
        <is>
          <t>組 3</t>
        </is>
      </c>
      <c r="J5" s="12" t="inlineStr">
        <is>
          <t>組 4</t>
        </is>
      </c>
      <c r="K5" s="12" t="inlineStr">
        <is>
          <t>備註 / 組間休息</t>
        </is>
      </c>
    </row>
    <row r="6">
      <c r="A6" s="14" t="n">
        <v>1</v>
      </c>
      <c r="B6" s="15" t="inlineStr">
        <is>
          <t>槓鈴背蹲（高槓）</t>
        </is>
      </c>
      <c r="C6" s="14" t="inlineStr">
        <is>
          <t>4 × 5-6</t>
        </is>
      </c>
      <c r="D6" s="14" t="inlineStr">
        <is>
          <t>80% 1RM</t>
        </is>
      </c>
      <c r="E6" s="7">
        <f>'重量速查'!H6</f>
        <v/>
      </c>
      <c r="F6" s="14" t="n">
        <v>8.5</v>
      </c>
      <c r="G6" s="6" t="n"/>
      <c r="H6" s="6" t="n"/>
      <c r="I6" s="6" t="n"/>
      <c r="J6" s="6" t="n"/>
      <c r="K6" s="15" t="inlineStr">
        <is>
          <t>蹲至大腿平行以下；組間 3 分鐘</t>
        </is>
      </c>
    </row>
    <row r="7">
      <c r="A7" s="14" t="n">
        <v>2</v>
      </c>
      <c r="B7" s="15" t="inlineStr">
        <is>
          <t>羅馬尼亞硬舉</t>
        </is>
      </c>
      <c r="C7" s="14" t="inlineStr">
        <is>
          <t>4 × 6-8</t>
        </is>
      </c>
      <c r="D7" s="14" t="inlineStr">
        <is>
          <t>75% 1RM</t>
        </is>
      </c>
      <c r="E7" s="7">
        <f>'重量速查'!F11</f>
        <v/>
      </c>
      <c r="F7" s="14" t="n">
        <v>8</v>
      </c>
      <c r="G7" s="6" t="n"/>
      <c r="H7" s="6" t="n"/>
      <c r="I7" s="6" t="n"/>
      <c r="J7" s="6" t="n"/>
      <c r="K7" s="15" t="inlineStr">
        <is>
          <t>髖鉸鏈，膕繩拉伸感；組間 2-3 分鐘</t>
        </is>
      </c>
    </row>
    <row r="8">
      <c r="A8" s="14" t="n">
        <v>3</v>
      </c>
      <c r="B8" s="15" t="inlineStr">
        <is>
          <t>保加利亞分腿蹲（DB）</t>
        </is>
      </c>
      <c r="C8" s="14" t="inlineStr">
        <is>
          <t>3 × 8-10/邊</t>
        </is>
      </c>
      <c r="D8" s="14" t="inlineStr">
        <is>
          <t>DB 重</t>
        </is>
      </c>
      <c r="E8" s="8" t="n">
        <v>22.5</v>
      </c>
      <c r="F8" s="14" t="n">
        <v>8</v>
      </c>
      <c r="G8" s="6" t="n"/>
      <c r="H8" s="6" t="n"/>
      <c r="I8" s="6" t="n"/>
      <c r="J8" s="6" t="n"/>
      <c r="K8" s="15" t="inlineStr">
        <is>
          <t>單手啞鈴 kg；組間 90 秒</t>
        </is>
      </c>
    </row>
    <row r="9">
      <c r="A9" s="14" t="n">
        <v>4</v>
      </c>
      <c r="B9" s="15" t="inlineStr">
        <is>
          <t>腿推 (Leg Press)</t>
        </is>
      </c>
      <c r="C9" s="14" t="inlineStr">
        <is>
          <t>3 × 8-10</t>
        </is>
      </c>
      <c r="D9" s="14" t="inlineStr">
        <is>
          <t>RPE 控</t>
        </is>
      </c>
      <c r="E9" s="13" t="inlineStr">
        <is>
          <t>RPE 控</t>
        </is>
      </c>
      <c r="F9" s="14" t="n">
        <v>8</v>
      </c>
      <c r="G9" s="6" t="n"/>
      <c r="H9" s="6" t="n"/>
      <c r="I9" s="6" t="n"/>
      <c r="J9" s="6" t="n"/>
      <c r="K9" s="15" t="inlineStr">
        <is>
          <t>大角度 ROM；組間 2 分鐘</t>
        </is>
      </c>
    </row>
    <row r="10">
      <c r="A10" s="14" t="n">
        <v>5</v>
      </c>
      <c r="B10" s="15" t="inlineStr">
        <is>
          <t>坐姿腿彎舉</t>
        </is>
      </c>
      <c r="C10" s="14" t="inlineStr">
        <is>
          <t>3 × 10-12</t>
        </is>
      </c>
      <c r="D10" s="14" t="inlineStr">
        <is>
          <t>RPE 控</t>
        </is>
      </c>
      <c r="E10" s="13" t="inlineStr">
        <is>
          <t>RPE 控</t>
        </is>
      </c>
      <c r="F10" s="14" t="n">
        <v>8</v>
      </c>
      <c r="G10" s="6" t="n"/>
      <c r="H10" s="6" t="n"/>
      <c r="I10" s="6" t="n"/>
      <c r="J10" s="6" t="n"/>
      <c r="K10" s="15" t="inlineStr">
        <is>
          <t>頂端 2 秒收縮；組間 60 秒</t>
        </is>
      </c>
    </row>
    <row r="11">
      <c r="A11" s="14" t="n">
        <v>6</v>
      </c>
      <c r="B11" s="15" t="inlineStr">
        <is>
          <t>站姿提踵</t>
        </is>
      </c>
      <c r="C11" s="14" t="inlineStr">
        <is>
          <t>4 × 12-15</t>
        </is>
      </c>
      <c r="D11" s="14" t="inlineStr">
        <is>
          <t>RPE 控</t>
        </is>
      </c>
      <c r="E11" s="13" t="inlineStr">
        <is>
          <t>RPE 控</t>
        </is>
      </c>
      <c r="F11" s="14" t="n">
        <v>9</v>
      </c>
      <c r="G11" s="6" t="n"/>
      <c r="H11" s="6" t="n"/>
      <c r="I11" s="6" t="n"/>
      <c r="J11" s="6" t="n"/>
      <c r="K11" s="15" t="inlineStr">
        <is>
          <t>完整下伸 + 頂端收縮；組間 60 秒</t>
        </is>
      </c>
    </row>
    <row r="13" ht="22" customHeight="1">
      <c r="A13" s="3" t="inlineStr">
        <is>
          <t>■ 本次訓練 Session 紀錄</t>
        </is>
      </c>
    </row>
    <row r="14">
      <c r="B14" s="12" t="inlineStr">
        <is>
          <t>日期</t>
        </is>
      </c>
      <c r="C14" s="12" t="inlineStr">
        <is>
          <t>訓練分鐘</t>
        </is>
      </c>
      <c r="D14" s="12" t="inlineStr">
        <is>
          <t>Session-RPE</t>
        </is>
      </c>
      <c r="E14" s="12" t="inlineStr">
        <is>
          <t>訓練點數</t>
        </is>
      </c>
      <c r="F14" s="12" t="inlineStr">
        <is>
          <t>Readiness 分數</t>
        </is>
      </c>
      <c r="G14" s="12" t="inlineStr">
        <is>
          <t>備註</t>
        </is>
      </c>
    </row>
    <row r="15">
      <c r="B15" s="6" t="n"/>
      <c r="C15" s="6" t="n"/>
      <c r="D15" s="6" t="n"/>
      <c r="E15" s="16">
        <f>C15*D15</f>
        <v/>
      </c>
      <c r="F15" s="6" t="n"/>
      <c r="G15" s="6" t="n"/>
    </row>
    <row r="17">
      <c r="B17" s="17" t="inlineStr">
        <is>
          <t>提醒：1) 主要動作優先做（神經系統最清醒）；2) 熱身：5 分有氧 + 空槓 + 60%×5 + 80%×3；3) 連續 3 次 Session-RPE 點數高於 4 週平均 130% → 強制 deload。</t>
        </is>
      </c>
    </row>
    <row r="18"/>
    <row r="19"/>
  </sheetData>
  <mergeCells count="5">
    <mergeCell ref="A4:K4"/>
    <mergeCell ref="B17:K19"/>
    <mergeCell ref="A2:K2"/>
    <mergeCell ref="A13:K13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0" customWidth="1" min="4" max="4"/>
    <col width="12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</cols>
  <sheetData>
    <row r="1" ht="28" customHeight="1">
      <c r="A1" s="1" t="inlineStr">
        <is>
          <t>Day 4｜上肢拉（厚度 + 寬度）</t>
        </is>
      </c>
    </row>
    <row r="2">
      <c r="A2" s="2" t="inlineStr">
        <is>
          <t>強度 75% 1RM｜目標 RPE 8｜訓練時長約 60 分</t>
        </is>
      </c>
    </row>
    <row r="4" ht="22" customHeight="1">
      <c r="A4" s="3" t="inlineStr">
        <is>
          <t>■ 訓練菜單（目標重量自動帶入）</t>
        </is>
      </c>
    </row>
    <row r="5" ht="32" customHeight="1">
      <c r="A5" s="12" t="inlineStr">
        <is>
          <t>#</t>
        </is>
      </c>
      <c r="B5" s="12" t="inlineStr">
        <is>
          <t>動作</t>
        </is>
      </c>
      <c r="C5" s="12" t="inlineStr">
        <is>
          <t>組×次</t>
        </is>
      </c>
      <c r="D5" s="12" t="inlineStr">
        <is>
          <t>強度</t>
        </is>
      </c>
      <c r="E5" s="12" t="inlineStr">
        <is>
          <t>目標 kg</t>
        </is>
      </c>
      <c r="F5" s="12" t="inlineStr">
        <is>
          <t>目標 RPE</t>
        </is>
      </c>
      <c r="G5" s="12" t="inlineStr">
        <is>
          <t>組 1</t>
        </is>
      </c>
      <c r="H5" s="12" t="inlineStr">
        <is>
          <t>組 2</t>
        </is>
      </c>
      <c r="I5" s="12" t="inlineStr">
        <is>
          <t>組 3</t>
        </is>
      </c>
      <c r="J5" s="12" t="inlineStr">
        <is>
          <t>組 4</t>
        </is>
      </c>
      <c r="K5" s="12" t="inlineStr">
        <is>
          <t>備註 / 組間休息</t>
        </is>
      </c>
    </row>
    <row r="6">
      <c r="A6" s="14" t="n">
        <v>1</v>
      </c>
      <c r="B6" s="15" t="inlineStr">
        <is>
          <t>引體向上（加重）/ 滑輪下拉</t>
        </is>
      </c>
      <c r="C6" s="14" t="inlineStr">
        <is>
          <t>4 × 6-8</t>
        </is>
      </c>
      <c r="D6" s="14" t="inlineStr">
        <is>
          <t>75% 1RM</t>
        </is>
      </c>
      <c r="E6" s="7">
        <f>'重量速查'!F13</f>
        <v/>
      </c>
      <c r="F6" s="14" t="n">
        <v>8</v>
      </c>
      <c r="G6" s="6" t="n"/>
      <c r="H6" s="6" t="n"/>
      <c r="I6" s="6" t="n"/>
      <c r="J6" s="6" t="n"/>
      <c r="K6" s="15" t="inlineStr">
        <is>
          <t>起始全伸展；組間 2-3 分鐘</t>
        </is>
      </c>
    </row>
    <row r="7">
      <c r="A7" s="14" t="n">
        <v>2</v>
      </c>
      <c r="B7" s="15" t="inlineStr">
        <is>
          <t>槓鈴俯身划船</t>
        </is>
      </c>
      <c r="C7" s="14" t="inlineStr">
        <is>
          <t>4 × 6-8</t>
        </is>
      </c>
      <c r="D7" s="14" t="inlineStr">
        <is>
          <t>75% 1RM</t>
        </is>
      </c>
      <c r="E7" s="7">
        <f>'重量速查'!F9</f>
        <v/>
      </c>
      <c r="F7" s="14" t="n">
        <v>8</v>
      </c>
      <c r="G7" s="6" t="n"/>
      <c r="H7" s="6" t="n"/>
      <c r="I7" s="6" t="n"/>
      <c r="J7" s="6" t="n"/>
      <c r="K7" s="15" t="inlineStr">
        <is>
          <t>軀幹 45°，拉至下腹；組間 2 分鐘</t>
        </is>
      </c>
    </row>
    <row r="8">
      <c r="A8" s="14" t="n">
        <v>3</v>
      </c>
      <c r="B8" s="15" t="inlineStr">
        <is>
          <t>啞鈴單臂划船</t>
        </is>
      </c>
      <c r="C8" s="14" t="inlineStr">
        <is>
          <t>3 × 8-10/邊</t>
        </is>
      </c>
      <c r="D8" s="14" t="inlineStr">
        <is>
          <t>DB 重</t>
        </is>
      </c>
      <c r="E8" s="8" t="n">
        <v>32.5</v>
      </c>
      <c r="F8" s="14" t="n">
        <v>8</v>
      </c>
      <c r="G8" s="6" t="n"/>
      <c r="H8" s="6" t="n"/>
      <c r="I8" s="6" t="n"/>
      <c r="J8" s="6" t="n"/>
      <c r="K8" s="15" t="inlineStr">
        <is>
          <t>單手啞鈴 kg；組間 90 秒</t>
        </is>
      </c>
    </row>
    <row r="9">
      <c r="A9" s="14" t="n">
        <v>4</v>
      </c>
      <c r="B9" s="15" t="inlineStr">
        <is>
          <t>繩索面拉 (Face Pull)</t>
        </is>
      </c>
      <c r="C9" s="14" t="inlineStr">
        <is>
          <t>3 × 12-15</t>
        </is>
      </c>
      <c r="D9" s="14" t="inlineStr">
        <is>
          <t>RPE 控</t>
        </is>
      </c>
      <c r="E9" s="13" t="inlineStr">
        <is>
          <t>RPE 控</t>
        </is>
      </c>
      <c r="F9" s="14" t="n">
        <v>8</v>
      </c>
      <c r="G9" s="6" t="n"/>
      <c r="H9" s="6" t="n"/>
      <c r="I9" s="6" t="n"/>
      <c r="J9" s="6" t="n"/>
      <c r="K9" s="15" t="inlineStr">
        <is>
          <t>後束 + 旋轉肌群；組間 60 秒</t>
        </is>
      </c>
    </row>
    <row r="10">
      <c r="A10" s="14" t="n">
        <v>5</v>
      </c>
      <c r="B10" s="15" t="inlineStr">
        <is>
          <t>槓鈴二頭彎舉</t>
        </is>
      </c>
      <c r="C10" s="14" t="inlineStr">
        <is>
          <t>3 × 8-10</t>
        </is>
      </c>
      <c r="D10" s="14" t="inlineStr">
        <is>
          <t>RPE 控</t>
        </is>
      </c>
      <c r="E10" s="8" t="n">
        <v>30</v>
      </c>
      <c r="F10" s="14" t="n">
        <v>8</v>
      </c>
      <c r="G10" s="6" t="n"/>
      <c r="H10" s="6" t="n"/>
      <c r="I10" s="6" t="n"/>
      <c r="J10" s="6" t="n"/>
      <c r="K10" s="15" t="inlineStr">
        <is>
          <t>EZ 桿或直槓；組間 90 秒</t>
        </is>
      </c>
    </row>
    <row r="11">
      <c r="A11" s="14" t="n">
        <v>6</v>
      </c>
      <c r="B11" s="15" t="inlineStr">
        <is>
          <t>啞鈴錘式彎舉</t>
        </is>
      </c>
      <c r="C11" s="14" t="inlineStr">
        <is>
          <t>3 × 10-12</t>
        </is>
      </c>
      <c r="D11" s="14" t="inlineStr">
        <is>
          <t>RPE 控</t>
        </is>
      </c>
      <c r="E11" s="8" t="n">
        <v>14</v>
      </c>
      <c r="F11" s="14" t="n">
        <v>8</v>
      </c>
      <c r="G11" s="6" t="n"/>
      <c r="H11" s="6" t="n"/>
      <c r="I11" s="6" t="n"/>
      <c r="J11" s="6" t="n"/>
      <c r="K11" s="15" t="inlineStr">
        <is>
          <t>單手啞鈴 kg；組間 60 秒</t>
        </is>
      </c>
    </row>
    <row r="13" ht="22" customHeight="1">
      <c r="A13" s="3" t="inlineStr">
        <is>
          <t>■ 本次訓練 Session 紀錄</t>
        </is>
      </c>
    </row>
    <row r="14">
      <c r="B14" s="12" t="inlineStr">
        <is>
          <t>日期</t>
        </is>
      </c>
      <c r="C14" s="12" t="inlineStr">
        <is>
          <t>訓練分鐘</t>
        </is>
      </c>
      <c r="D14" s="12" t="inlineStr">
        <is>
          <t>Session-RPE</t>
        </is>
      </c>
      <c r="E14" s="12" t="inlineStr">
        <is>
          <t>訓練點數</t>
        </is>
      </c>
      <c r="F14" s="12" t="inlineStr">
        <is>
          <t>Readiness 分數</t>
        </is>
      </c>
      <c r="G14" s="12" t="inlineStr">
        <is>
          <t>備註</t>
        </is>
      </c>
    </row>
    <row r="15">
      <c r="B15" s="6" t="n"/>
      <c r="C15" s="6" t="n"/>
      <c r="D15" s="6" t="n"/>
      <c r="E15" s="16">
        <f>C15*D15</f>
        <v/>
      </c>
      <c r="F15" s="6" t="n"/>
      <c r="G15" s="6" t="n"/>
    </row>
    <row r="17">
      <c r="B17" s="17" t="inlineStr">
        <is>
          <t>提醒：1) 主要動作優先做（神經系統最清醒）；2) 熱身：5 分有氧 + 空槓 + 60%×5 + 80%×3；3) 連續 3 次 Session-RPE 點數高於 4 週平均 130% → 強制 deload。</t>
        </is>
      </c>
    </row>
    <row r="18"/>
    <row r="19"/>
  </sheetData>
  <mergeCells count="5">
    <mergeCell ref="A4:K4"/>
    <mergeCell ref="B17:K19"/>
    <mergeCell ref="A2:K2"/>
    <mergeCell ref="A13:K13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0" customWidth="1" min="4" max="4"/>
    <col width="12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</cols>
  <sheetData>
    <row r="1" ht="28" customHeight="1">
      <c r="A1" s="1" t="inlineStr">
        <is>
          <t>Day 5｜下肢功能性強化</t>
        </is>
      </c>
    </row>
    <row r="2">
      <c r="A2" s="2" t="inlineStr">
        <is>
          <t>強度 80% 1RM｜目標 RPE 9｜訓練時長約 70 分</t>
        </is>
      </c>
    </row>
    <row r="4" ht="22" customHeight="1">
      <c r="A4" s="3" t="inlineStr">
        <is>
          <t>■ 訓練菜單（目標重量自動帶入）</t>
        </is>
      </c>
    </row>
    <row r="5" ht="32" customHeight="1">
      <c r="A5" s="12" t="inlineStr">
        <is>
          <t>#</t>
        </is>
      </c>
      <c r="B5" s="12" t="inlineStr">
        <is>
          <t>動作</t>
        </is>
      </c>
      <c r="C5" s="12" t="inlineStr">
        <is>
          <t>組×次</t>
        </is>
      </c>
      <c r="D5" s="12" t="inlineStr">
        <is>
          <t>強度</t>
        </is>
      </c>
      <c r="E5" s="12" t="inlineStr">
        <is>
          <t>目標 kg</t>
        </is>
      </c>
      <c r="F5" s="12" t="inlineStr">
        <is>
          <t>目標 RPE</t>
        </is>
      </c>
      <c r="G5" s="12" t="inlineStr">
        <is>
          <t>組 1</t>
        </is>
      </c>
      <c r="H5" s="12" t="inlineStr">
        <is>
          <t>組 2</t>
        </is>
      </c>
      <c r="I5" s="12" t="inlineStr">
        <is>
          <t>組 3</t>
        </is>
      </c>
      <c r="J5" s="12" t="inlineStr">
        <is>
          <t>組 4</t>
        </is>
      </c>
      <c r="K5" s="12" t="inlineStr">
        <is>
          <t>備註 / 組間休息</t>
        </is>
      </c>
    </row>
    <row r="6">
      <c r="A6" s="14" t="n">
        <v>1</v>
      </c>
      <c r="B6" s="15" t="inlineStr">
        <is>
          <t>傳統硬舉</t>
        </is>
      </c>
      <c r="C6" s="14" t="inlineStr">
        <is>
          <t>4 × 4-6</t>
        </is>
      </c>
      <c r="D6" s="14" t="inlineStr">
        <is>
          <t>80% 1RM</t>
        </is>
      </c>
      <c r="E6" s="7">
        <f>'重量速查'!H7</f>
        <v/>
      </c>
      <c r="F6" s="14" t="n">
        <v>9</v>
      </c>
      <c r="G6" s="6" t="n"/>
      <c r="H6" s="6" t="n"/>
      <c r="I6" s="6" t="n"/>
      <c r="J6" s="6" t="n"/>
      <c r="K6" s="15" t="inlineStr">
        <is>
          <t>槓貼小腿，背中立；組間 3 分鐘</t>
        </is>
      </c>
    </row>
    <row r="7">
      <c r="A7" s="14" t="n">
        <v>2</v>
      </c>
      <c r="B7" s="15" t="inlineStr">
        <is>
          <t>前蹲 (Front Squat)</t>
        </is>
      </c>
      <c r="C7" s="14" t="inlineStr">
        <is>
          <t>3 × 6-8</t>
        </is>
      </c>
      <c r="D7" s="14" t="inlineStr">
        <is>
          <t>75% 1RM</t>
        </is>
      </c>
      <c r="E7" s="7">
        <f>'重量速查'!F10</f>
        <v/>
      </c>
      <c r="F7" s="14" t="n">
        <v>8</v>
      </c>
      <c r="G7" s="6" t="n"/>
      <c r="H7" s="6" t="n"/>
      <c r="I7" s="6" t="n"/>
      <c r="J7" s="6" t="n"/>
      <c r="K7" s="15" t="inlineStr">
        <is>
          <t>軀幹直立，肘高抬；組間 2-3 分鐘</t>
        </is>
      </c>
    </row>
    <row r="8">
      <c r="A8" s="14" t="n">
        <v>3</v>
      </c>
      <c r="B8" s="15" t="inlineStr">
        <is>
          <t>槓鈴髖推</t>
        </is>
      </c>
      <c r="C8" s="14" t="inlineStr">
        <is>
          <t>4 × 8-10</t>
        </is>
      </c>
      <c r="D8" s="14" t="inlineStr">
        <is>
          <t>80% 1RM</t>
        </is>
      </c>
      <c r="E8" s="7">
        <f>'重量速查'!H12</f>
        <v/>
      </c>
      <c r="F8" s="14" t="n">
        <v>8</v>
      </c>
      <c r="G8" s="6" t="n"/>
      <c r="H8" s="6" t="n"/>
      <c r="I8" s="6" t="n"/>
      <c r="J8" s="6" t="n"/>
      <c r="K8" s="15" t="inlineStr">
        <is>
          <t>頂端臀夾 1 秒；組間 90 秒</t>
        </is>
      </c>
    </row>
    <row r="9">
      <c r="A9" s="14" t="n">
        <v>4</v>
      </c>
      <c r="B9" s="15" t="inlineStr">
        <is>
          <t>行走式弓步（DB）</t>
        </is>
      </c>
      <c r="C9" s="14" t="inlineStr">
        <is>
          <t>3 × 10 步/邊</t>
        </is>
      </c>
      <c r="D9" s="14" t="inlineStr">
        <is>
          <t>DB 重</t>
        </is>
      </c>
      <c r="E9" s="8" t="n">
        <v>20</v>
      </c>
      <c r="F9" s="14" t="n">
        <v>8</v>
      </c>
      <c r="G9" s="6" t="n"/>
      <c r="H9" s="6" t="n"/>
      <c r="I9" s="6" t="n"/>
      <c r="J9" s="6" t="n"/>
      <c r="K9" s="15" t="inlineStr">
        <is>
          <t>單手啞鈴 kg；組間 90 秒</t>
        </is>
      </c>
    </row>
    <row r="10">
      <c r="A10" s="14" t="n">
        <v>5</v>
      </c>
      <c r="B10" s="15" t="inlineStr">
        <is>
          <t>腿彎舉（機械）</t>
        </is>
      </c>
      <c r="C10" s="14" t="inlineStr">
        <is>
          <t>3 × 8-10</t>
        </is>
      </c>
      <c r="D10" s="14" t="inlineStr">
        <is>
          <t>RPE 控</t>
        </is>
      </c>
      <c r="E10" s="13" t="inlineStr">
        <is>
          <t>RPE 控</t>
        </is>
      </c>
      <c r="F10" s="14" t="n">
        <v>8</v>
      </c>
      <c r="G10" s="6" t="n"/>
      <c r="H10" s="6" t="n"/>
      <c r="I10" s="6" t="n"/>
      <c r="J10" s="6" t="n"/>
      <c r="K10" s="15" t="inlineStr">
        <is>
          <t>離心 3-4 秒；組間 60 秒</t>
        </is>
      </c>
    </row>
    <row r="11">
      <c r="A11" s="14" t="n">
        <v>6</v>
      </c>
      <c r="B11" s="15" t="inlineStr">
        <is>
          <t>坐姿提踵</t>
        </is>
      </c>
      <c r="C11" s="14" t="inlineStr">
        <is>
          <t>4 × 10-12</t>
        </is>
      </c>
      <c r="D11" s="14" t="inlineStr">
        <is>
          <t>RPE 控</t>
        </is>
      </c>
      <c r="E11" s="13" t="inlineStr">
        <is>
          <t>RPE 控</t>
        </is>
      </c>
      <c r="F11" s="14" t="n">
        <v>9</v>
      </c>
      <c r="G11" s="6" t="n"/>
      <c r="H11" s="6" t="n"/>
      <c r="I11" s="6" t="n"/>
      <c r="J11" s="6" t="n"/>
      <c r="K11" s="15" t="inlineStr">
        <is>
          <t>比目魚肌聚焦；組間 60 秒</t>
        </is>
      </c>
    </row>
    <row r="13" ht="22" customHeight="1">
      <c r="A13" s="3" t="inlineStr">
        <is>
          <t>■ 本次訓練 Session 紀錄</t>
        </is>
      </c>
    </row>
    <row r="14">
      <c r="B14" s="12" t="inlineStr">
        <is>
          <t>日期</t>
        </is>
      </c>
      <c r="C14" s="12" t="inlineStr">
        <is>
          <t>訓練分鐘</t>
        </is>
      </c>
      <c r="D14" s="12" t="inlineStr">
        <is>
          <t>Session-RPE</t>
        </is>
      </c>
      <c r="E14" s="12" t="inlineStr">
        <is>
          <t>訓練點數</t>
        </is>
      </c>
      <c r="F14" s="12" t="inlineStr">
        <is>
          <t>Readiness 分數</t>
        </is>
      </c>
      <c r="G14" s="12" t="inlineStr">
        <is>
          <t>備註</t>
        </is>
      </c>
    </row>
    <row r="15">
      <c r="B15" s="6" t="n"/>
      <c r="C15" s="6" t="n"/>
      <c r="D15" s="6" t="n"/>
      <c r="E15" s="16">
        <f>C15*D15</f>
        <v/>
      </c>
      <c r="F15" s="6" t="n"/>
      <c r="G15" s="6" t="n"/>
    </row>
    <row r="17">
      <c r="B17" s="17" t="inlineStr">
        <is>
          <t>提醒：1) 主要動作優先做（神經系統最清醒）；2) 熱身：5 分有氧 + 空槓 + 60%×5 + 80%×3；3) 連續 3 次 Session-RPE 點數高於 4 週平均 130% → 強制 deload。</t>
        </is>
      </c>
    </row>
    <row r="18"/>
    <row r="19"/>
  </sheetData>
  <mergeCells count="5">
    <mergeCell ref="A4:K4"/>
    <mergeCell ref="B17:K19"/>
    <mergeCell ref="A2:K2"/>
    <mergeCell ref="A13:K13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0" customWidth="1" min="4" max="4"/>
    <col width="12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</cols>
  <sheetData>
    <row r="1" ht="28" customHeight="1">
      <c r="A1" s="1" t="inlineStr">
        <is>
          <t>方案 A（備援）｜全身效率型 — 每週 2-3 次</t>
        </is>
      </c>
    </row>
    <row r="2">
      <c r="A2" s="2" t="inlineStr">
        <is>
          <t>出差 / 減載 / 復健週使用；總時長 ≤ 60 分鐘</t>
        </is>
      </c>
    </row>
    <row r="4" ht="22" customHeight="1">
      <c r="A4" s="3" t="inlineStr">
        <is>
          <t>■ 訓練菜單（目標重量自動帶入）</t>
        </is>
      </c>
    </row>
    <row r="5" ht="32" customHeight="1">
      <c r="A5" s="12" t="inlineStr">
        <is>
          <t>#</t>
        </is>
      </c>
      <c r="B5" s="12" t="inlineStr">
        <is>
          <t>動作</t>
        </is>
      </c>
      <c r="C5" s="12" t="inlineStr">
        <is>
          <t>組×次</t>
        </is>
      </c>
      <c r="D5" s="12" t="inlineStr">
        <is>
          <t>強度</t>
        </is>
      </c>
      <c r="E5" s="12" t="inlineStr">
        <is>
          <t>目標 kg</t>
        </is>
      </c>
      <c r="F5" s="12" t="inlineStr">
        <is>
          <t>目標 RPE</t>
        </is>
      </c>
      <c r="G5" s="12" t="inlineStr">
        <is>
          <t>組 1</t>
        </is>
      </c>
      <c r="H5" s="12" t="inlineStr">
        <is>
          <t>組 2</t>
        </is>
      </c>
      <c r="I5" s="12" t="inlineStr">
        <is>
          <t>組 3</t>
        </is>
      </c>
      <c r="J5" s="12" t="inlineStr">
        <is>
          <t>組 4</t>
        </is>
      </c>
      <c r="K5" s="12" t="inlineStr">
        <is>
          <t>備註 / 組間休息</t>
        </is>
      </c>
    </row>
    <row r="6">
      <c r="A6" s="14" t="n">
        <v>1</v>
      </c>
      <c r="B6" s="15" t="inlineStr">
        <is>
          <t>槓鈴背蹲 或 硬舉</t>
        </is>
      </c>
      <c r="C6" s="14" t="inlineStr">
        <is>
          <t>3-4 × 6-8</t>
        </is>
      </c>
      <c r="D6" s="14" t="inlineStr">
        <is>
          <t>75% 1RM</t>
        </is>
      </c>
      <c r="E6" s="7">
        <f>'重量速查'!F6</f>
        <v/>
      </c>
      <c r="F6" s="14" t="n">
        <v>7.5</v>
      </c>
      <c r="G6" s="6" t="n"/>
      <c r="H6" s="6" t="n"/>
      <c r="I6" s="6" t="n"/>
      <c r="J6" s="6" t="n"/>
      <c r="K6" s="15" t="inlineStr">
        <is>
          <t>二擇一輪替；組間 2-3 分</t>
        </is>
      </c>
    </row>
    <row r="7">
      <c r="A7" s="14" t="n">
        <v>2</v>
      </c>
      <c r="B7" s="15" t="inlineStr">
        <is>
          <t>槓鈴臥推 或 雙槓撐體</t>
        </is>
      </c>
      <c r="C7" s="14" t="inlineStr">
        <is>
          <t>3 × 6-8</t>
        </is>
      </c>
      <c r="D7" s="14" t="inlineStr">
        <is>
          <t>75% 1RM</t>
        </is>
      </c>
      <c r="E7" s="7">
        <f>'重量速查'!F5</f>
        <v/>
      </c>
      <c r="F7" s="14" t="n">
        <v>7.5</v>
      </c>
      <c r="G7" s="6" t="n"/>
      <c r="H7" s="6" t="n"/>
      <c r="I7" s="6" t="n"/>
      <c r="J7" s="6" t="n"/>
      <c r="K7" s="15" t="inlineStr">
        <is>
          <t>二擇一；組間 2 分</t>
        </is>
      </c>
    </row>
    <row r="8">
      <c r="A8" s="14" t="n">
        <v>3</v>
      </c>
      <c r="B8" s="15" t="inlineStr">
        <is>
          <t>槓鈴划船 或 引體向上</t>
        </is>
      </c>
      <c r="C8" s="14" t="inlineStr">
        <is>
          <t>3 × 6-8</t>
        </is>
      </c>
      <c r="D8" s="14" t="inlineStr">
        <is>
          <t>75% 1RM</t>
        </is>
      </c>
      <c r="E8" s="7">
        <f>'重量速查'!F9</f>
        <v/>
      </c>
      <c r="F8" s="14" t="n">
        <v>7.5</v>
      </c>
      <c r="G8" s="6" t="n"/>
      <c r="H8" s="6" t="n"/>
      <c r="I8" s="6" t="n"/>
      <c r="J8" s="6" t="n"/>
      <c r="K8" s="15" t="inlineStr">
        <is>
          <t>二擇一；組間 2 分</t>
        </is>
      </c>
    </row>
    <row r="9">
      <c r="A9" s="14" t="n">
        <v>4</v>
      </c>
      <c r="B9" s="15" t="inlineStr">
        <is>
          <t>肩推 或 滑輪下拉</t>
        </is>
      </c>
      <c r="C9" s="14" t="inlineStr">
        <is>
          <t>3 × 8-10</t>
        </is>
      </c>
      <c r="D9" s="14" t="inlineStr">
        <is>
          <t>72% 1RM</t>
        </is>
      </c>
      <c r="E9" s="7">
        <f>'重量速查'!E8</f>
        <v/>
      </c>
      <c r="F9" s="14" t="n">
        <v>7.5</v>
      </c>
      <c r="G9" s="6" t="n"/>
      <c r="H9" s="6" t="n"/>
      <c r="I9" s="6" t="n"/>
      <c r="J9" s="6" t="n"/>
      <c r="K9" s="15" t="inlineStr">
        <is>
          <t>二擇一；組間 90 秒</t>
        </is>
      </c>
    </row>
    <row r="10">
      <c r="A10" s="14" t="n">
        <v>5</v>
      </c>
      <c r="B10" s="15" t="inlineStr">
        <is>
          <t>臀橋 / 髖推</t>
        </is>
      </c>
      <c r="C10" s="14" t="inlineStr">
        <is>
          <t>3 × 10</t>
        </is>
      </c>
      <c r="D10" s="14" t="inlineStr">
        <is>
          <t>RPE 控</t>
        </is>
      </c>
      <c r="E10" s="13" t="inlineStr">
        <is>
          <t>RPE 控</t>
        </is>
      </c>
      <c r="F10" s="14" t="n">
        <v>7</v>
      </c>
      <c r="G10" s="6" t="n"/>
      <c r="H10" s="6" t="n"/>
      <c r="I10" s="6" t="n"/>
      <c r="J10" s="6" t="n"/>
      <c r="K10" s="15" t="inlineStr">
        <is>
          <t>頂端夾臀；組間 90 秒</t>
        </is>
      </c>
    </row>
    <row r="11">
      <c r="A11" s="14" t="n">
        <v>6</v>
      </c>
      <c r="B11" s="15" t="inlineStr">
        <is>
          <t>核心循環（棒式/死蟲式/農夫走）</t>
        </is>
      </c>
      <c r="C11" s="14" t="inlineStr">
        <is>
          <t>3 組</t>
        </is>
      </c>
      <c r="D11" s="14" t="inlineStr">
        <is>
          <t>RPE 控</t>
        </is>
      </c>
      <c r="E11" s="13" t="inlineStr">
        <is>
          <t>RPE 控</t>
        </is>
      </c>
      <c r="F11" s="14" t="n">
        <v>7</v>
      </c>
      <c r="G11" s="6" t="n"/>
      <c r="H11" s="6" t="n"/>
      <c r="I11" s="6" t="n"/>
      <c r="J11" s="6" t="n"/>
      <c r="K11" s="15" t="inlineStr">
        <is>
          <t>30-60 秒/組；組間 30 秒</t>
        </is>
      </c>
    </row>
    <row r="13" ht="22" customHeight="1">
      <c r="A13" s="3" t="inlineStr">
        <is>
          <t>■ 本次訓練 Session 紀錄</t>
        </is>
      </c>
    </row>
    <row r="14">
      <c r="B14" s="12" t="inlineStr">
        <is>
          <t>日期</t>
        </is>
      </c>
      <c r="C14" s="12" t="inlineStr">
        <is>
          <t>訓練分鐘</t>
        </is>
      </c>
      <c r="D14" s="12" t="inlineStr">
        <is>
          <t>Session-RPE</t>
        </is>
      </c>
      <c r="E14" s="12" t="inlineStr">
        <is>
          <t>訓練點數</t>
        </is>
      </c>
      <c r="F14" s="12" t="inlineStr">
        <is>
          <t>Readiness 分數</t>
        </is>
      </c>
      <c r="G14" s="12" t="inlineStr">
        <is>
          <t>備註</t>
        </is>
      </c>
    </row>
    <row r="15">
      <c r="B15" s="6" t="n"/>
      <c r="C15" s="6" t="n"/>
      <c r="D15" s="6" t="n"/>
      <c r="E15" s="16">
        <f>C15*D15</f>
        <v/>
      </c>
      <c r="F15" s="6" t="n"/>
      <c r="G15" s="6" t="n"/>
    </row>
    <row r="17">
      <c r="B17" s="17" t="inlineStr">
        <is>
          <t>提醒：1) 主要動作優先做（神經系統最清醒）；2) 熱身：5 分有氧 + 空槓 + 60%×5 + 80%×3；3) 連續 3 次 Session-RPE 點數高於 4 週平均 130% → 強制 deload。</t>
        </is>
      </c>
    </row>
    <row r="18"/>
    <row r="19"/>
  </sheetData>
  <mergeCells count="5">
    <mergeCell ref="A4:K4"/>
    <mergeCell ref="B17:K19"/>
    <mergeCell ref="A2:K2"/>
    <mergeCell ref="A13:K13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30" customWidth="1" min="8" max="8"/>
  </cols>
  <sheetData>
    <row r="1" ht="28" customHeight="1">
      <c r="A1" s="1" t="inlineStr">
        <is>
          <t>Readiness 自評（每日晨起 1 分鐘）</t>
        </is>
      </c>
    </row>
    <row r="2">
      <c r="A2" s="2" t="inlineStr">
        <is>
          <t>四項各 1-10 分；總分 &lt; 14 強制降強度或主動恢復｜14-30 照表執行｜&gt;30 可加碼 +2.5kg</t>
        </is>
      </c>
    </row>
    <row r="4" ht="32" customHeight="1">
      <c r="A4" s="12" t="inlineStr">
        <is>
          <t>日期</t>
        </is>
      </c>
      <c r="B4" s="12" t="inlineStr">
        <is>
          <t>睡眠 (1-10)</t>
        </is>
      </c>
      <c r="C4" s="12" t="inlineStr">
        <is>
          <t>痠痛 (1-10)</t>
        </is>
      </c>
      <c r="D4" s="12" t="inlineStr">
        <is>
          <t>心情 (1-10)</t>
        </is>
      </c>
      <c r="E4" s="12" t="inlineStr">
        <is>
          <t>食慾 (1-10)</t>
        </is>
      </c>
      <c r="F4" s="12" t="inlineStr">
        <is>
          <t>總分</t>
        </is>
      </c>
      <c r="G4" s="12" t="inlineStr">
        <is>
          <t>判定</t>
        </is>
      </c>
      <c r="H4" s="12" t="inlineStr">
        <is>
          <t>備註 / 戰術調整</t>
        </is>
      </c>
    </row>
    <row r="5">
      <c r="A5" s="6" t="n"/>
      <c r="B5" s="6" t="n"/>
      <c r="C5" s="6" t="n"/>
      <c r="D5" s="6" t="n"/>
      <c r="E5" s="6" t="n"/>
      <c r="F5" s="8">
        <f>IF(SUM(B5:E5)=0,"",SUM(B5:E5))</f>
        <v/>
      </c>
      <c r="G5" s="8">
        <f>IF(F5="","",IF(F5&lt;14,"⚠ 降強度/主動恢復",IF(F5&gt;30,"✓ 可加碼","→ 照表執行")))</f>
        <v/>
      </c>
      <c r="H5" s="18" t="n"/>
    </row>
    <row r="6">
      <c r="A6" s="6" t="n"/>
      <c r="B6" s="6" t="n"/>
      <c r="C6" s="6" t="n"/>
      <c r="D6" s="6" t="n"/>
      <c r="E6" s="6" t="n"/>
      <c r="F6" s="8">
        <f>IF(SUM(B6:E6)=0,"",SUM(B6:E6))</f>
        <v/>
      </c>
      <c r="G6" s="8">
        <f>IF(F6="","",IF(F6&lt;14,"⚠ 降強度/主動恢復",IF(F6&gt;30,"✓ 可加碼","→ 照表執行")))</f>
        <v/>
      </c>
      <c r="H6" s="18" t="n"/>
    </row>
    <row r="7">
      <c r="A7" s="6" t="n"/>
      <c r="B7" s="6" t="n"/>
      <c r="C7" s="6" t="n"/>
      <c r="D7" s="6" t="n"/>
      <c r="E7" s="6" t="n"/>
      <c r="F7" s="8">
        <f>IF(SUM(B7:E7)=0,"",SUM(B7:E7))</f>
        <v/>
      </c>
      <c r="G7" s="8">
        <f>IF(F7="","",IF(F7&lt;14,"⚠ 降強度/主動恢復",IF(F7&gt;30,"✓ 可加碼","→ 照表執行")))</f>
        <v/>
      </c>
      <c r="H7" s="18" t="n"/>
    </row>
    <row r="8">
      <c r="A8" s="6" t="n"/>
      <c r="B8" s="6" t="n"/>
      <c r="C8" s="6" t="n"/>
      <c r="D8" s="6" t="n"/>
      <c r="E8" s="6" t="n"/>
      <c r="F8" s="8">
        <f>IF(SUM(B8:E8)=0,"",SUM(B8:E8))</f>
        <v/>
      </c>
      <c r="G8" s="8">
        <f>IF(F8="","",IF(F8&lt;14,"⚠ 降強度/主動恢復",IF(F8&gt;30,"✓ 可加碼","→ 照表執行")))</f>
        <v/>
      </c>
      <c r="H8" s="18" t="n"/>
    </row>
    <row r="9">
      <c r="A9" s="6" t="n"/>
      <c r="B9" s="6" t="n"/>
      <c r="C9" s="6" t="n"/>
      <c r="D9" s="6" t="n"/>
      <c r="E9" s="6" t="n"/>
      <c r="F9" s="8">
        <f>IF(SUM(B9:E9)=0,"",SUM(B9:E9))</f>
        <v/>
      </c>
      <c r="G9" s="8">
        <f>IF(F9="","",IF(F9&lt;14,"⚠ 降強度/主動恢復",IF(F9&gt;30,"✓ 可加碼","→ 照表執行")))</f>
        <v/>
      </c>
      <c r="H9" s="18" t="n"/>
    </row>
    <row r="10">
      <c r="A10" s="6" t="n"/>
      <c r="B10" s="6" t="n"/>
      <c r="C10" s="6" t="n"/>
      <c r="D10" s="6" t="n"/>
      <c r="E10" s="6" t="n"/>
      <c r="F10" s="8">
        <f>IF(SUM(B10:E10)=0,"",SUM(B10:E10))</f>
        <v/>
      </c>
      <c r="G10" s="8">
        <f>IF(F10="","",IF(F10&lt;14,"⚠ 降強度/主動恢復",IF(F10&gt;30,"✓ 可加碼","→ 照表執行")))</f>
        <v/>
      </c>
      <c r="H10" s="18" t="n"/>
    </row>
    <row r="11">
      <c r="A11" s="6" t="n"/>
      <c r="B11" s="6" t="n"/>
      <c r="C11" s="6" t="n"/>
      <c r="D11" s="6" t="n"/>
      <c r="E11" s="6" t="n"/>
      <c r="F11" s="8">
        <f>IF(SUM(B11:E11)=0,"",SUM(B11:E11))</f>
        <v/>
      </c>
      <c r="G11" s="8">
        <f>IF(F11="","",IF(F11&lt;14,"⚠ 降強度/主動恢復",IF(F11&gt;30,"✓ 可加碼","→ 照表執行")))</f>
        <v/>
      </c>
      <c r="H11" s="18" t="n"/>
    </row>
    <row r="12">
      <c r="A12" s="6" t="n"/>
      <c r="B12" s="6" t="n"/>
      <c r="C12" s="6" t="n"/>
      <c r="D12" s="6" t="n"/>
      <c r="E12" s="6" t="n"/>
      <c r="F12" s="8">
        <f>IF(SUM(B12:E12)=0,"",SUM(B12:E12))</f>
        <v/>
      </c>
      <c r="G12" s="8">
        <f>IF(F12="","",IF(F12&lt;14,"⚠ 降強度/主動恢復",IF(F12&gt;30,"✓ 可加碼","→ 照表執行")))</f>
        <v/>
      </c>
      <c r="H12" s="18" t="n"/>
    </row>
    <row r="13">
      <c r="A13" s="6" t="n"/>
      <c r="B13" s="6" t="n"/>
      <c r="C13" s="6" t="n"/>
      <c r="D13" s="6" t="n"/>
      <c r="E13" s="6" t="n"/>
      <c r="F13" s="8">
        <f>IF(SUM(B13:E13)=0,"",SUM(B13:E13))</f>
        <v/>
      </c>
      <c r="G13" s="8">
        <f>IF(F13="","",IF(F13&lt;14,"⚠ 降強度/主動恢復",IF(F13&gt;30,"✓ 可加碼","→ 照表執行")))</f>
        <v/>
      </c>
      <c r="H13" s="18" t="n"/>
    </row>
    <row r="14">
      <c r="A14" s="6" t="n"/>
      <c r="B14" s="6" t="n"/>
      <c r="C14" s="6" t="n"/>
      <c r="D14" s="6" t="n"/>
      <c r="E14" s="6" t="n"/>
      <c r="F14" s="8">
        <f>IF(SUM(B14:E14)=0,"",SUM(B14:E14))</f>
        <v/>
      </c>
      <c r="G14" s="8">
        <f>IF(F14="","",IF(F14&lt;14,"⚠ 降強度/主動恢復",IF(F14&gt;30,"✓ 可加碼","→ 照表執行")))</f>
        <v/>
      </c>
      <c r="H14" s="18" t="n"/>
    </row>
    <row r="15">
      <c r="A15" s="6" t="n"/>
      <c r="B15" s="6" t="n"/>
      <c r="C15" s="6" t="n"/>
      <c r="D15" s="6" t="n"/>
      <c r="E15" s="6" t="n"/>
      <c r="F15" s="8">
        <f>IF(SUM(B15:E15)=0,"",SUM(B15:E15))</f>
        <v/>
      </c>
      <c r="G15" s="8">
        <f>IF(F15="","",IF(F15&lt;14,"⚠ 降強度/主動恢復",IF(F15&gt;30,"✓ 可加碼","→ 照表執行")))</f>
        <v/>
      </c>
      <c r="H15" s="18" t="n"/>
    </row>
    <row r="16">
      <c r="A16" s="6" t="n"/>
      <c r="B16" s="6" t="n"/>
      <c r="C16" s="6" t="n"/>
      <c r="D16" s="6" t="n"/>
      <c r="E16" s="6" t="n"/>
      <c r="F16" s="8">
        <f>IF(SUM(B16:E16)=0,"",SUM(B16:E16))</f>
        <v/>
      </c>
      <c r="G16" s="8">
        <f>IF(F16="","",IF(F16&lt;14,"⚠ 降強度/主動恢復",IF(F16&gt;30,"✓ 可加碼","→ 照表執行")))</f>
        <v/>
      </c>
      <c r="H16" s="18" t="n"/>
    </row>
    <row r="17">
      <c r="A17" s="6" t="n"/>
      <c r="B17" s="6" t="n"/>
      <c r="C17" s="6" t="n"/>
      <c r="D17" s="6" t="n"/>
      <c r="E17" s="6" t="n"/>
      <c r="F17" s="8">
        <f>IF(SUM(B17:E17)=0,"",SUM(B17:E17))</f>
        <v/>
      </c>
      <c r="G17" s="8">
        <f>IF(F17="","",IF(F17&lt;14,"⚠ 降強度/主動恢復",IF(F17&gt;30,"✓ 可加碼","→ 照表執行")))</f>
        <v/>
      </c>
      <c r="H17" s="18" t="n"/>
    </row>
    <row r="18">
      <c r="A18" s="6" t="n"/>
      <c r="B18" s="6" t="n"/>
      <c r="C18" s="6" t="n"/>
      <c r="D18" s="6" t="n"/>
      <c r="E18" s="6" t="n"/>
      <c r="F18" s="8">
        <f>IF(SUM(B18:E18)=0,"",SUM(B18:E18))</f>
        <v/>
      </c>
      <c r="G18" s="8">
        <f>IF(F18="","",IF(F18&lt;14,"⚠ 降強度/主動恢復",IF(F18&gt;30,"✓ 可加碼","→ 照表執行")))</f>
        <v/>
      </c>
      <c r="H18" s="18" t="n"/>
    </row>
    <row r="19">
      <c r="A19" s="6" t="n"/>
      <c r="B19" s="6" t="n"/>
      <c r="C19" s="6" t="n"/>
      <c r="D19" s="6" t="n"/>
      <c r="E19" s="6" t="n"/>
      <c r="F19" s="8">
        <f>IF(SUM(B19:E19)=0,"",SUM(B19:E19))</f>
        <v/>
      </c>
      <c r="G19" s="8">
        <f>IF(F19="","",IF(F19&lt;14,"⚠ 降強度/主動恢復",IF(F19&gt;30,"✓ 可加碼","→ 照表執行")))</f>
        <v/>
      </c>
      <c r="H19" s="18" t="n"/>
    </row>
    <row r="20">
      <c r="A20" s="6" t="n"/>
      <c r="B20" s="6" t="n"/>
      <c r="C20" s="6" t="n"/>
      <c r="D20" s="6" t="n"/>
      <c r="E20" s="6" t="n"/>
      <c r="F20" s="8">
        <f>IF(SUM(B20:E20)=0,"",SUM(B20:E20))</f>
        <v/>
      </c>
      <c r="G20" s="8">
        <f>IF(F20="","",IF(F20&lt;14,"⚠ 降強度/主動恢復",IF(F20&gt;30,"✓ 可加碼","→ 照表執行")))</f>
        <v/>
      </c>
      <c r="H20" s="18" t="n"/>
    </row>
    <row r="21">
      <c r="A21" s="6" t="n"/>
      <c r="B21" s="6" t="n"/>
      <c r="C21" s="6" t="n"/>
      <c r="D21" s="6" t="n"/>
      <c r="E21" s="6" t="n"/>
      <c r="F21" s="8">
        <f>IF(SUM(B21:E21)=0,"",SUM(B21:E21))</f>
        <v/>
      </c>
      <c r="G21" s="8">
        <f>IF(F21="","",IF(F21&lt;14,"⚠ 降強度/主動恢復",IF(F21&gt;30,"✓ 可加碼","→ 照表執行")))</f>
        <v/>
      </c>
      <c r="H21" s="18" t="n"/>
    </row>
    <row r="22">
      <c r="A22" s="6" t="n"/>
      <c r="B22" s="6" t="n"/>
      <c r="C22" s="6" t="n"/>
      <c r="D22" s="6" t="n"/>
      <c r="E22" s="6" t="n"/>
      <c r="F22" s="8">
        <f>IF(SUM(B22:E22)=0,"",SUM(B22:E22))</f>
        <v/>
      </c>
      <c r="G22" s="8">
        <f>IF(F22="","",IF(F22&lt;14,"⚠ 降強度/主動恢復",IF(F22&gt;30,"✓ 可加碼","→ 照表執行")))</f>
        <v/>
      </c>
      <c r="H22" s="18" t="n"/>
    </row>
    <row r="23">
      <c r="A23" s="6" t="n"/>
      <c r="B23" s="6" t="n"/>
      <c r="C23" s="6" t="n"/>
      <c r="D23" s="6" t="n"/>
      <c r="E23" s="6" t="n"/>
      <c r="F23" s="8">
        <f>IF(SUM(B23:E23)=0,"",SUM(B23:E23))</f>
        <v/>
      </c>
      <c r="G23" s="8">
        <f>IF(F23="","",IF(F23&lt;14,"⚠ 降強度/主動恢復",IF(F23&gt;30,"✓ 可加碼","→ 照表執行")))</f>
        <v/>
      </c>
      <c r="H23" s="18" t="n"/>
    </row>
    <row r="24">
      <c r="A24" s="6" t="n"/>
      <c r="B24" s="6" t="n"/>
      <c r="C24" s="6" t="n"/>
      <c r="D24" s="6" t="n"/>
      <c r="E24" s="6" t="n"/>
      <c r="F24" s="8">
        <f>IF(SUM(B24:E24)=0,"",SUM(B24:E24))</f>
        <v/>
      </c>
      <c r="G24" s="8">
        <f>IF(F24="","",IF(F24&lt;14,"⚠ 降強度/主動恢復",IF(F24&gt;30,"✓ 可加碼","→ 照表執行")))</f>
        <v/>
      </c>
      <c r="H24" s="18" t="n"/>
    </row>
    <row r="25">
      <c r="A25" s="6" t="n"/>
      <c r="B25" s="6" t="n"/>
      <c r="C25" s="6" t="n"/>
      <c r="D25" s="6" t="n"/>
      <c r="E25" s="6" t="n"/>
      <c r="F25" s="8">
        <f>IF(SUM(B25:E25)=0,"",SUM(B25:E25))</f>
        <v/>
      </c>
      <c r="G25" s="8">
        <f>IF(F25="","",IF(F25&lt;14,"⚠ 降強度/主動恢復",IF(F25&gt;30,"✓ 可加碼","→ 照表執行")))</f>
        <v/>
      </c>
      <c r="H25" s="18" t="n"/>
    </row>
    <row r="26">
      <c r="A26" s="6" t="n"/>
      <c r="B26" s="6" t="n"/>
      <c r="C26" s="6" t="n"/>
      <c r="D26" s="6" t="n"/>
      <c r="E26" s="6" t="n"/>
      <c r="F26" s="8">
        <f>IF(SUM(B26:E26)=0,"",SUM(B26:E26))</f>
        <v/>
      </c>
      <c r="G26" s="8">
        <f>IF(F26="","",IF(F26&lt;14,"⚠ 降強度/主動恢復",IF(F26&gt;30,"✓ 可加碼","→ 照表執行")))</f>
        <v/>
      </c>
      <c r="H26" s="18" t="n"/>
    </row>
    <row r="27">
      <c r="A27" s="6" t="n"/>
      <c r="B27" s="6" t="n"/>
      <c r="C27" s="6" t="n"/>
      <c r="D27" s="6" t="n"/>
      <c r="E27" s="6" t="n"/>
      <c r="F27" s="8">
        <f>IF(SUM(B27:E27)=0,"",SUM(B27:E27))</f>
        <v/>
      </c>
      <c r="G27" s="8">
        <f>IF(F27="","",IF(F27&lt;14,"⚠ 降強度/主動恢復",IF(F27&gt;30,"✓ 可加碼","→ 照表執行")))</f>
        <v/>
      </c>
      <c r="H27" s="18" t="n"/>
    </row>
    <row r="28">
      <c r="A28" s="6" t="n"/>
      <c r="B28" s="6" t="n"/>
      <c r="C28" s="6" t="n"/>
      <c r="D28" s="6" t="n"/>
      <c r="E28" s="6" t="n"/>
      <c r="F28" s="8">
        <f>IF(SUM(B28:E28)=0,"",SUM(B28:E28))</f>
        <v/>
      </c>
      <c r="G28" s="8">
        <f>IF(F28="","",IF(F28&lt;14,"⚠ 降強度/主動恢復",IF(F28&gt;30,"✓ 可加碼","→ 照表執行")))</f>
        <v/>
      </c>
      <c r="H28" s="18" t="n"/>
    </row>
    <row r="29">
      <c r="A29" s="6" t="n"/>
      <c r="B29" s="6" t="n"/>
      <c r="C29" s="6" t="n"/>
      <c r="D29" s="6" t="n"/>
      <c r="E29" s="6" t="n"/>
      <c r="F29" s="8">
        <f>IF(SUM(B29:E29)=0,"",SUM(B29:E29))</f>
        <v/>
      </c>
      <c r="G29" s="8">
        <f>IF(F29="","",IF(F29&lt;14,"⚠ 降強度/主動恢復",IF(F29&gt;30,"✓ 可加碼","→ 照表執行")))</f>
        <v/>
      </c>
      <c r="H29" s="18" t="n"/>
    </row>
    <row r="30">
      <c r="A30" s="6" t="n"/>
      <c r="B30" s="6" t="n"/>
      <c r="C30" s="6" t="n"/>
      <c r="D30" s="6" t="n"/>
      <c r="E30" s="6" t="n"/>
      <c r="F30" s="8">
        <f>IF(SUM(B30:E30)=0,"",SUM(B30:E30))</f>
        <v/>
      </c>
      <c r="G30" s="8">
        <f>IF(F30="","",IF(F30&lt;14,"⚠ 降強度/主動恢復",IF(F30&gt;30,"✓ 可加碼","→ 照表執行")))</f>
        <v/>
      </c>
      <c r="H30" s="18" t="n"/>
    </row>
    <row r="31">
      <c r="A31" s="6" t="n"/>
      <c r="B31" s="6" t="n"/>
      <c r="C31" s="6" t="n"/>
      <c r="D31" s="6" t="n"/>
      <c r="E31" s="6" t="n"/>
      <c r="F31" s="8">
        <f>IF(SUM(B31:E31)=0,"",SUM(B31:E31))</f>
        <v/>
      </c>
      <c r="G31" s="8">
        <f>IF(F31="","",IF(F31&lt;14,"⚠ 降強度/主動恢復",IF(F31&gt;30,"✓ 可加碼","→ 照表執行")))</f>
        <v/>
      </c>
      <c r="H31" s="18" t="n"/>
    </row>
    <row r="32">
      <c r="A32" s="6" t="n"/>
      <c r="B32" s="6" t="n"/>
      <c r="C32" s="6" t="n"/>
      <c r="D32" s="6" t="n"/>
      <c r="E32" s="6" t="n"/>
      <c r="F32" s="8">
        <f>IF(SUM(B32:E32)=0,"",SUM(B32:E32))</f>
        <v/>
      </c>
      <c r="G32" s="8">
        <f>IF(F32="","",IF(F32&lt;14,"⚠ 降強度/主動恢復",IF(F32&gt;30,"✓ 可加碼","→ 照表執行")))</f>
        <v/>
      </c>
      <c r="H32" s="18" t="n"/>
    </row>
  </sheetData>
  <mergeCells count="2">
    <mergeCell ref="A2:H2"/>
    <mergeCell ref="A1:H1"/>
  </mergeCells>
  <conditionalFormatting sqref="F5:F32">
    <cfRule type="cellIs" priority="1" operator="lessThan" dxfId="0">
      <formula>14</formula>
    </cfRule>
    <cfRule type="cellIs" priority="2" operator="greaterThan" dxfId="1">
      <formula>30</formula>
    </cfRule>
    <cfRule type="cellIs" priority="3" operator="between" dxfId="2">
      <formula>14</formula>
      <formula>30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</cols>
  <sheetData>
    <row r="1" ht="28" customHeight="1">
      <c r="A1" s="1" t="inlineStr">
        <is>
          <t>營養目標與每日追蹤（Body Recomp）</t>
        </is>
      </c>
    </row>
    <row r="2">
      <c r="A2" s="2" t="inlineStr">
        <is>
          <t>目標：同時增肌減脂｜訓練日熱量維持、休息日輕度赤字｜蛋白質為錨點</t>
        </is>
      </c>
    </row>
    <row r="4" ht="22" customHeight="1">
      <c r="A4" s="3" t="inlineStr">
        <is>
          <t>■ TDEE 自動計算（Mifflin-St Jeor）</t>
        </is>
      </c>
    </row>
    <row r="5">
      <c r="B5" s="4" t="inlineStr">
        <is>
          <t>BMR (男)</t>
        </is>
      </c>
      <c r="C5" s="19">
        <f>10*'個人資料'!C6+6.25*'個人資料'!C5-5*'個人資料'!C7+5</f>
        <v/>
      </c>
      <c r="D5" s="20" t="inlineStr">
        <is>
          <t>kcal/日</t>
        </is>
      </c>
    </row>
    <row r="6">
      <c r="B6" s="4" t="inlineStr">
        <is>
          <t>TDEE (× 活動係數)</t>
        </is>
      </c>
      <c r="C6" s="19">
        <f>ROUND(C5*'個人資料'!C9,0)</f>
        <v/>
      </c>
      <c r="D6" s="20" t="inlineStr">
        <is>
          <t>kcal/日</t>
        </is>
      </c>
    </row>
    <row r="8" ht="22" customHeight="1">
      <c r="A8" s="3" t="inlineStr">
        <is>
          <t>■ 每日目標宏量（Body Recomp：訓練日維持，休息日 -200 kcal）</t>
        </is>
      </c>
    </row>
    <row r="9" ht="32" customHeight="1">
      <c r="A9" s="12" t="inlineStr"/>
      <c r="B9" s="12" t="inlineStr">
        <is>
          <t>目標</t>
        </is>
      </c>
      <c r="C9" s="12" t="inlineStr">
        <is>
          <t>蛋白質 g</t>
        </is>
      </c>
      <c r="D9" s="12" t="inlineStr">
        <is>
          <t>脂肪 g</t>
        </is>
      </c>
      <c r="E9" s="12" t="inlineStr">
        <is>
          <t>碳水 g</t>
        </is>
      </c>
      <c r="F9" s="12" t="inlineStr">
        <is>
          <t>熱量 kcal</t>
        </is>
      </c>
      <c r="G9" s="12" t="inlineStr">
        <is>
          <t>P g/kg</t>
        </is>
      </c>
      <c r="H9" s="12" t="inlineStr">
        <is>
          <t>備註</t>
        </is>
      </c>
    </row>
    <row r="10">
      <c r="B10" s="21" t="inlineStr">
        <is>
          <t>訓練日</t>
        </is>
      </c>
      <c r="C10" s="8">
        <f>ROUND('個人資料'!C6*2.0,0)</f>
        <v/>
      </c>
      <c r="D10" s="8">
        <f>ROUND('個人資料'!C6*0.9,0)</f>
        <v/>
      </c>
      <c r="E10" s="8">
        <f>ROUND((C6-C10*4-D10*9)/4,0)</f>
        <v/>
      </c>
      <c r="F10" s="8">
        <f>C10*4+D10*9+E10*4</f>
        <v/>
      </c>
      <c r="G10" s="8">
        <f>ROUND(C10/'個人資料'!C6,1)</f>
        <v/>
      </c>
      <c r="H10" s="11" t="inlineStr">
        <is>
          <t>碳水偏訓練前後</t>
        </is>
      </c>
    </row>
    <row r="11">
      <c r="B11" s="21" t="inlineStr">
        <is>
          <t>休息日</t>
        </is>
      </c>
      <c r="C11" s="8">
        <f>ROUND('個人資料'!C6*2.0,0)</f>
        <v/>
      </c>
      <c r="D11" s="8">
        <f>ROUND('個人資料'!C6*0.9,0)</f>
        <v/>
      </c>
      <c r="E11" s="8">
        <f>ROUND((C6-200-C11*4-D11*9)/4,0)</f>
        <v/>
      </c>
      <c r="F11" s="8">
        <f>C11*4+D11*9+E11*4</f>
        <v/>
      </c>
      <c r="G11" s="8">
        <f>ROUND(C11/'個人資料'!C6,1)</f>
        <v/>
      </c>
      <c r="H11" s="11" t="inlineStr">
        <is>
          <t>碳水低 20%</t>
        </is>
      </c>
    </row>
    <row r="12">
      <c r="B12" s="21" t="inlineStr">
        <is>
          <t>週平均 (4訓3休)</t>
        </is>
      </c>
      <c r="C12" s="8">
        <f>ROUND((C10*4+C11*3)/7,0)</f>
        <v/>
      </c>
      <c r="D12" s="8">
        <f>ROUND((D10*4+D11*3)/7,0)</f>
        <v/>
      </c>
      <c r="E12" s="8">
        <f>ROUND((E10*4+E11*3)/7,0)</f>
        <v/>
      </c>
      <c r="F12" s="8">
        <f>ROUND((F10*4+F11*3)/7,0)</f>
        <v/>
      </c>
      <c r="G12" s="14" t="n"/>
      <c r="H12" s="15" t="n"/>
    </row>
    <row r="14" ht="22" customHeight="1">
      <c r="A14" s="3" t="inlineStr">
        <is>
          <t>■ 每日攝取追蹤（自動算熱量；超出/不足會即時反映）</t>
        </is>
      </c>
    </row>
    <row r="15" ht="32" customHeight="1">
      <c r="A15" s="12" t="inlineStr">
        <is>
          <t>日期</t>
        </is>
      </c>
      <c r="B15" s="12" t="inlineStr">
        <is>
          <t>類型</t>
        </is>
      </c>
      <c r="C15" s="12" t="inlineStr">
        <is>
          <t>蛋白質 g</t>
        </is>
      </c>
      <c r="D15" s="12" t="inlineStr">
        <is>
          <t>脂肪 g</t>
        </is>
      </c>
      <c r="E15" s="12" t="inlineStr">
        <is>
          <t>碳水 g</t>
        </is>
      </c>
      <c r="F15" s="12" t="inlineStr">
        <is>
          <t>熱量 kcal</t>
        </is>
      </c>
      <c r="G15" s="12" t="inlineStr">
        <is>
          <t>對比目標</t>
        </is>
      </c>
      <c r="H15" s="12" t="inlineStr">
        <is>
          <t>備註</t>
        </is>
      </c>
    </row>
    <row r="16">
      <c r="A16" s="6" t="n"/>
      <c r="B16" s="6" t="n"/>
      <c r="C16" s="6" t="n"/>
      <c r="D16" s="6" t="n"/>
      <c r="E16" s="6" t="n"/>
      <c r="F16" s="8">
        <f>IF(SUM(C16:E16)=0,"",C16*4+D16*9+E16*4)</f>
        <v/>
      </c>
      <c r="G16" s="8">
        <f>IF(F16="","",IF(B16="訓練",F16-$F$10,IF(B16="休息",F16-$F$11,F16-$F$12)))</f>
        <v/>
      </c>
      <c r="H16" s="18" t="n"/>
    </row>
    <row r="17">
      <c r="A17" s="6" t="n"/>
      <c r="B17" s="6" t="n"/>
      <c r="C17" s="6" t="n"/>
      <c r="D17" s="6" t="n"/>
      <c r="E17" s="6" t="n"/>
      <c r="F17" s="8">
        <f>IF(SUM(C17:E17)=0,"",C17*4+D17*9+E17*4)</f>
        <v/>
      </c>
      <c r="G17" s="8">
        <f>IF(F17="","",IF(B17="訓練",F17-$F$10,IF(B17="休息",F17-$F$11,F17-$F$12)))</f>
        <v/>
      </c>
      <c r="H17" s="18" t="n"/>
    </row>
    <row r="18">
      <c r="A18" s="6" t="n"/>
      <c r="B18" s="6" t="n"/>
      <c r="C18" s="6" t="n"/>
      <c r="D18" s="6" t="n"/>
      <c r="E18" s="6" t="n"/>
      <c r="F18" s="8">
        <f>IF(SUM(C18:E18)=0,"",C18*4+D18*9+E18*4)</f>
        <v/>
      </c>
      <c r="G18" s="8">
        <f>IF(F18="","",IF(B18="訓練",F18-$F$10,IF(B18="休息",F18-$F$11,F18-$F$12)))</f>
        <v/>
      </c>
      <c r="H18" s="18" t="n"/>
    </row>
    <row r="19">
      <c r="A19" s="6" t="n"/>
      <c r="B19" s="6" t="n"/>
      <c r="C19" s="6" t="n"/>
      <c r="D19" s="6" t="n"/>
      <c r="E19" s="6" t="n"/>
      <c r="F19" s="8">
        <f>IF(SUM(C19:E19)=0,"",C19*4+D19*9+E19*4)</f>
        <v/>
      </c>
      <c r="G19" s="8">
        <f>IF(F19="","",IF(B19="訓練",F19-$F$10,IF(B19="休息",F19-$F$11,F19-$F$12)))</f>
        <v/>
      </c>
      <c r="H19" s="18" t="n"/>
    </row>
    <row r="20">
      <c r="A20" s="6" t="n"/>
      <c r="B20" s="6" t="n"/>
      <c r="C20" s="6" t="n"/>
      <c r="D20" s="6" t="n"/>
      <c r="E20" s="6" t="n"/>
      <c r="F20" s="8">
        <f>IF(SUM(C20:E20)=0,"",C20*4+D20*9+E20*4)</f>
        <v/>
      </c>
      <c r="G20" s="8">
        <f>IF(F20="","",IF(B20="訓練",F20-$F$10,IF(B20="休息",F20-$F$11,F20-$F$12)))</f>
        <v/>
      </c>
      <c r="H20" s="18" t="n"/>
    </row>
    <row r="21">
      <c r="A21" s="6" t="n"/>
      <c r="B21" s="6" t="n"/>
      <c r="C21" s="6" t="n"/>
      <c r="D21" s="6" t="n"/>
      <c r="E21" s="6" t="n"/>
      <c r="F21" s="8">
        <f>IF(SUM(C21:E21)=0,"",C21*4+D21*9+E21*4)</f>
        <v/>
      </c>
      <c r="G21" s="8">
        <f>IF(F21="","",IF(B21="訓練",F21-$F$10,IF(B21="休息",F21-$F$11,F21-$F$12)))</f>
        <v/>
      </c>
      <c r="H21" s="18" t="n"/>
    </row>
    <row r="22">
      <c r="A22" s="6" t="n"/>
      <c r="B22" s="6" t="n"/>
      <c r="C22" s="6" t="n"/>
      <c r="D22" s="6" t="n"/>
      <c r="E22" s="6" t="n"/>
      <c r="F22" s="8">
        <f>IF(SUM(C22:E22)=0,"",C22*4+D22*9+E22*4)</f>
        <v/>
      </c>
      <c r="G22" s="8">
        <f>IF(F22="","",IF(B22="訓練",F22-$F$10,IF(B22="休息",F22-$F$11,F22-$F$12)))</f>
        <v/>
      </c>
      <c r="H22" s="18" t="n"/>
    </row>
    <row r="23">
      <c r="A23" s="6" t="n"/>
      <c r="B23" s="6" t="n"/>
      <c r="C23" s="6" t="n"/>
      <c r="D23" s="6" t="n"/>
      <c r="E23" s="6" t="n"/>
      <c r="F23" s="8">
        <f>IF(SUM(C23:E23)=0,"",C23*4+D23*9+E23*4)</f>
        <v/>
      </c>
      <c r="G23" s="8">
        <f>IF(F23="","",IF(B23="訓練",F23-$F$10,IF(B23="休息",F23-$F$11,F23-$F$12)))</f>
        <v/>
      </c>
      <c r="H23" s="18" t="n"/>
    </row>
    <row r="24">
      <c r="A24" s="6" t="n"/>
      <c r="B24" s="6" t="n"/>
      <c r="C24" s="6" t="n"/>
      <c r="D24" s="6" t="n"/>
      <c r="E24" s="6" t="n"/>
      <c r="F24" s="8">
        <f>IF(SUM(C24:E24)=0,"",C24*4+D24*9+E24*4)</f>
        <v/>
      </c>
      <c r="G24" s="8">
        <f>IF(F24="","",IF(B24="訓練",F24-$F$10,IF(B24="休息",F24-$F$11,F24-$F$12)))</f>
        <v/>
      </c>
      <c r="H24" s="18" t="n"/>
    </row>
    <row r="25">
      <c r="A25" s="6" t="n"/>
      <c r="B25" s="6" t="n"/>
      <c r="C25" s="6" t="n"/>
      <c r="D25" s="6" t="n"/>
      <c r="E25" s="6" t="n"/>
      <c r="F25" s="8">
        <f>IF(SUM(C25:E25)=0,"",C25*4+D25*9+E25*4)</f>
        <v/>
      </c>
      <c r="G25" s="8">
        <f>IF(F25="","",IF(B25="訓練",F25-$F$10,IF(B25="休息",F25-$F$11,F25-$F$12)))</f>
        <v/>
      </c>
      <c r="H25" s="18" t="n"/>
    </row>
    <row r="26">
      <c r="A26" s="6" t="n"/>
      <c r="B26" s="6" t="n"/>
      <c r="C26" s="6" t="n"/>
      <c r="D26" s="6" t="n"/>
      <c r="E26" s="6" t="n"/>
      <c r="F26" s="8">
        <f>IF(SUM(C26:E26)=0,"",C26*4+D26*9+E26*4)</f>
        <v/>
      </c>
      <c r="G26" s="8">
        <f>IF(F26="","",IF(B26="訓練",F26-$F$10,IF(B26="休息",F26-$F$11,F26-$F$12)))</f>
        <v/>
      </c>
      <c r="H26" s="18" t="n"/>
    </row>
    <row r="27">
      <c r="A27" s="6" t="n"/>
      <c r="B27" s="6" t="n"/>
      <c r="C27" s="6" t="n"/>
      <c r="D27" s="6" t="n"/>
      <c r="E27" s="6" t="n"/>
      <c r="F27" s="8">
        <f>IF(SUM(C27:E27)=0,"",C27*4+D27*9+E27*4)</f>
        <v/>
      </c>
      <c r="G27" s="8">
        <f>IF(F27="","",IF(B27="訓練",F27-$F$10,IF(B27="休息",F27-$F$11,F27-$F$12)))</f>
        <v/>
      </c>
      <c r="H27" s="18" t="n"/>
    </row>
    <row r="28">
      <c r="A28" s="6" t="n"/>
      <c r="B28" s="6" t="n"/>
      <c r="C28" s="6" t="n"/>
      <c r="D28" s="6" t="n"/>
      <c r="E28" s="6" t="n"/>
      <c r="F28" s="8">
        <f>IF(SUM(C28:E28)=0,"",C28*4+D28*9+E28*4)</f>
        <v/>
      </c>
      <c r="G28" s="8">
        <f>IF(F28="","",IF(B28="訓練",F28-$F$10,IF(B28="休息",F28-$F$11,F28-$F$12)))</f>
        <v/>
      </c>
      <c r="H28" s="18" t="n"/>
    </row>
    <row r="29">
      <c r="A29" s="6" t="n"/>
      <c r="B29" s="6" t="n"/>
      <c r="C29" s="6" t="n"/>
      <c r="D29" s="6" t="n"/>
      <c r="E29" s="6" t="n"/>
      <c r="F29" s="8">
        <f>IF(SUM(C29:E29)=0,"",C29*4+D29*9+E29*4)</f>
        <v/>
      </c>
      <c r="G29" s="8">
        <f>IF(F29="","",IF(B29="訓練",F29-$F$10,IF(B29="休息",F29-$F$11,F29-$F$12)))</f>
        <v/>
      </c>
      <c r="H29" s="18" t="n"/>
    </row>
    <row r="32">
      <c r="B32" s="2" t="inlineStr">
        <is>
          <t>提示：類型欄填『訓練』或『休息』；對比目標 = 實際 - 目標。建議單日落在 ±200 kcal 內。</t>
        </is>
      </c>
    </row>
  </sheetData>
  <mergeCells count="6">
    <mergeCell ref="A4:H4"/>
    <mergeCell ref="B32:H32"/>
    <mergeCell ref="A2:H2"/>
    <mergeCell ref="A14:H14"/>
    <mergeCell ref="A1:H1"/>
    <mergeCell ref="A8:H8"/>
  </mergeCells>
  <dataValidations count="1">
    <dataValidation sqref="B16:B29" showDropDown="0" showInputMessage="0" showErrorMessage="0" allowBlank="1" type="list">
      <formula1>"訓練,休息"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28" customHeight="1">
      <c r="A1" s="1" t="inlineStr">
        <is>
          <t>食物宏量速查表（每 100g 生重 / 蛋以一顆）</t>
        </is>
      </c>
    </row>
    <row r="2">
      <c r="A2" s="2" t="inlineStr">
        <is>
          <t>建議：每餐優先湊到 30-50g 蛋白質；脂肪以堅果 / 橄欖油 / 蛋黃 / 起司補；碳水繞訓練前後</t>
        </is>
      </c>
    </row>
    <row r="4" ht="32" customHeight="1">
      <c r="A4" s="12" t="inlineStr">
        <is>
          <t>#</t>
        </is>
      </c>
      <c r="B4" s="12" t="inlineStr">
        <is>
          <t>食物</t>
        </is>
      </c>
      <c r="C4" s="12" t="inlineStr">
        <is>
          <t>份量單位</t>
        </is>
      </c>
      <c r="D4" s="12" t="inlineStr">
        <is>
          <t>蛋白質 g</t>
        </is>
      </c>
      <c r="E4" s="12" t="inlineStr">
        <is>
          <t>脂肪 g</t>
        </is>
      </c>
      <c r="F4" s="12" t="inlineStr">
        <is>
          <t>碳水 g</t>
        </is>
      </c>
      <c r="G4" s="12" t="inlineStr">
        <is>
          <t>熱量 kcal</t>
        </is>
      </c>
      <c r="H4" s="12" t="inlineStr">
        <is>
          <t>備註</t>
        </is>
      </c>
    </row>
    <row r="5">
      <c r="A5" s="14" t="n">
        <v>1</v>
      </c>
      <c r="B5" s="15" t="inlineStr">
        <is>
          <t>雞胸肉（去皮）</t>
        </is>
      </c>
      <c r="C5" s="14" t="inlineStr">
        <is>
          <t>100g 生</t>
        </is>
      </c>
      <c r="D5" s="14" t="n">
        <v>23</v>
      </c>
      <c r="E5" s="14" t="n">
        <v>1.8</v>
      </c>
      <c r="F5" s="14" t="n">
        <v>0</v>
      </c>
      <c r="G5" s="8">
        <f>D5*4+E5*9+F5*4</f>
        <v/>
      </c>
      <c r="H5" s="15" t="inlineStr">
        <is>
          <t>首選 P 來源</t>
        </is>
      </c>
    </row>
    <row r="6">
      <c r="A6" s="14" t="n">
        <v>2</v>
      </c>
      <c r="B6" s="15" t="inlineStr">
        <is>
          <t>雞腿肉（去皮）</t>
        </is>
      </c>
      <c r="C6" s="14" t="inlineStr">
        <is>
          <t>100g 生</t>
        </is>
      </c>
      <c r="D6" s="14" t="n">
        <v>19</v>
      </c>
      <c r="E6" s="14" t="n">
        <v>8</v>
      </c>
      <c r="F6" s="14" t="n">
        <v>0</v>
      </c>
      <c r="G6" s="8">
        <f>D6*4+E6*9+F6*4</f>
        <v/>
      </c>
      <c r="H6" s="15" t="inlineStr">
        <is>
          <t>風味好，脂肪略高</t>
        </is>
      </c>
    </row>
    <row r="7">
      <c r="A7" s="14" t="n">
        <v>3</v>
      </c>
      <c r="B7" s="15" t="inlineStr">
        <is>
          <t>雞蛋（中型）</t>
        </is>
      </c>
      <c r="C7" s="14" t="inlineStr">
        <is>
          <t>1 顆 60g</t>
        </is>
      </c>
      <c r="D7" s="14" t="n">
        <v>7</v>
      </c>
      <c r="E7" s="14" t="n">
        <v>5</v>
      </c>
      <c r="F7" s="14" t="n">
        <v>0.5</v>
      </c>
      <c r="G7" s="8">
        <f>D7*4+E7*9+F7*4</f>
        <v/>
      </c>
      <c r="H7" s="15" t="inlineStr">
        <is>
          <t>完整氨基酸 / 蛋黃含膽鹼</t>
        </is>
      </c>
    </row>
    <row r="8">
      <c r="A8" s="14" t="n">
        <v>4</v>
      </c>
      <c r="B8" s="15" t="inlineStr">
        <is>
          <t>蛋白</t>
        </is>
      </c>
      <c r="C8" s="14" t="inlineStr">
        <is>
          <t>1 顆</t>
        </is>
      </c>
      <c r="D8" s="14" t="n">
        <v>3.6</v>
      </c>
      <c r="E8" s="14" t="n">
        <v>0</v>
      </c>
      <c r="F8" s="14" t="n">
        <v>0.3</v>
      </c>
      <c r="G8" s="8">
        <f>D8*4+E8*9+F8*4</f>
        <v/>
      </c>
      <c r="H8" s="15" t="inlineStr">
        <is>
          <t>純蛋白零脂</t>
        </is>
      </c>
    </row>
    <row r="9">
      <c r="A9" s="14" t="n">
        <v>5</v>
      </c>
      <c r="B9" s="15" t="inlineStr">
        <is>
          <t>鮭魚</t>
        </is>
      </c>
      <c r="C9" s="14" t="inlineStr">
        <is>
          <t>100g 生</t>
        </is>
      </c>
      <c r="D9" s="14" t="n">
        <v>20</v>
      </c>
      <c r="E9" s="14" t="n">
        <v>13</v>
      </c>
      <c r="F9" s="14" t="n">
        <v>0</v>
      </c>
      <c r="G9" s="8">
        <f>D9*4+E9*9+F9*4</f>
        <v/>
      </c>
      <c r="H9" s="15" t="inlineStr">
        <is>
          <t>Omega-3 來源</t>
        </is>
      </c>
    </row>
    <row r="10">
      <c r="A10" s="14" t="n">
        <v>6</v>
      </c>
      <c r="B10" s="15" t="inlineStr">
        <is>
          <t>鮪魚（罐裝水煮）</t>
        </is>
      </c>
      <c r="C10" s="14" t="inlineStr">
        <is>
          <t>100g</t>
        </is>
      </c>
      <c r="D10" s="14" t="n">
        <v>25</v>
      </c>
      <c r="E10" s="14" t="n">
        <v>1</v>
      </c>
      <c r="F10" s="14" t="n">
        <v>0</v>
      </c>
      <c r="G10" s="8">
        <f>D10*4+E10*9+F10*4</f>
        <v/>
      </c>
      <c r="H10" s="15" t="inlineStr">
        <is>
          <t>高 P 低 F</t>
        </is>
      </c>
    </row>
    <row r="11">
      <c r="A11" s="14" t="n">
        <v>7</v>
      </c>
      <c r="B11" s="15" t="inlineStr">
        <is>
          <t>白蝦</t>
        </is>
      </c>
      <c r="C11" s="14" t="inlineStr">
        <is>
          <t>100g 生</t>
        </is>
      </c>
      <c r="D11" s="14" t="n">
        <v>20</v>
      </c>
      <c r="E11" s="14" t="n">
        <v>1</v>
      </c>
      <c r="F11" s="14" t="n">
        <v>0</v>
      </c>
      <c r="G11" s="8">
        <f>D11*4+E11*9+F11*4</f>
        <v/>
      </c>
      <c r="H11" s="15" t="inlineStr">
        <is>
          <t>低脂高 P</t>
        </is>
      </c>
    </row>
    <row r="12">
      <c r="A12" s="14" t="n">
        <v>8</v>
      </c>
      <c r="B12" s="15" t="inlineStr">
        <is>
          <t>豬里肌</t>
        </is>
      </c>
      <c r="C12" s="14" t="inlineStr">
        <is>
          <t>100g 生</t>
        </is>
      </c>
      <c r="D12" s="14" t="n">
        <v>22</v>
      </c>
      <c r="E12" s="14" t="n">
        <v>4</v>
      </c>
      <c r="F12" s="14" t="n">
        <v>0</v>
      </c>
      <c r="G12" s="8">
        <f>D12*4+E12*9+F12*4</f>
        <v/>
      </c>
      <c r="H12" s="15" t="inlineStr">
        <is>
          <t>瘦肉，可烤可煎</t>
        </is>
      </c>
    </row>
    <row r="13">
      <c r="A13" s="14" t="n">
        <v>9</v>
      </c>
      <c r="B13" s="15" t="inlineStr">
        <is>
          <t>牛腱 / 牛腩瘦</t>
        </is>
      </c>
      <c r="C13" s="14" t="inlineStr">
        <is>
          <t>100g 生</t>
        </is>
      </c>
      <c r="D13" s="14" t="n">
        <v>20</v>
      </c>
      <c r="E13" s="14" t="n">
        <v>7</v>
      </c>
      <c r="F13" s="14" t="n">
        <v>0</v>
      </c>
      <c r="G13" s="8">
        <f>D13*4+E13*9+F13*4</f>
        <v/>
      </c>
      <c r="H13" s="15" t="inlineStr">
        <is>
          <t>鐵質高</t>
        </is>
      </c>
    </row>
    <row r="14">
      <c r="A14" s="14" t="n">
        <v>10</v>
      </c>
      <c r="B14" s="15" t="inlineStr">
        <is>
          <t>豆腐（板豆腐）</t>
        </is>
      </c>
      <c r="C14" s="14" t="inlineStr">
        <is>
          <t>100g</t>
        </is>
      </c>
      <c r="D14" s="14" t="n">
        <v>8</v>
      </c>
      <c r="E14" s="14" t="n">
        <v>4.5</v>
      </c>
      <c r="F14" s="14" t="n">
        <v>1</v>
      </c>
      <c r="G14" s="8">
        <f>D14*4+E14*9+F14*4</f>
        <v/>
      </c>
      <c r="H14" s="15" t="inlineStr">
        <is>
          <t>植物 P / 含異黃酮</t>
        </is>
      </c>
    </row>
    <row r="15">
      <c r="A15" s="14" t="n">
        <v>11</v>
      </c>
      <c r="B15" s="15" t="inlineStr">
        <is>
          <t>無糖希臘優格</t>
        </is>
      </c>
      <c r="C15" s="14" t="inlineStr">
        <is>
          <t>100g</t>
        </is>
      </c>
      <c r="D15" s="14" t="n">
        <v>10</v>
      </c>
      <c r="E15" s="14" t="n">
        <v>0.5</v>
      </c>
      <c r="F15" s="14" t="n">
        <v>4</v>
      </c>
      <c r="G15" s="8">
        <f>D15*4+E15*9+F15*4</f>
        <v/>
      </c>
      <c r="H15" s="15" t="inlineStr">
        <is>
          <t>晚餐 / 點心</t>
        </is>
      </c>
    </row>
    <row r="16">
      <c r="A16" s="14" t="n">
        <v>12</v>
      </c>
      <c r="B16" s="15" t="inlineStr">
        <is>
          <t>茅屋起司</t>
        </is>
      </c>
      <c r="C16" s="14" t="inlineStr">
        <is>
          <t>100g</t>
        </is>
      </c>
      <c r="D16" s="14" t="n">
        <v>11</v>
      </c>
      <c r="E16" s="14" t="n">
        <v>4</v>
      </c>
      <c r="F16" s="14" t="n">
        <v>3</v>
      </c>
      <c r="G16" s="8">
        <f>D16*4+E16*9+F16*4</f>
        <v/>
      </c>
      <c r="H16" s="15" t="inlineStr">
        <is>
          <t>緩釋酪蛋白，睡前佳</t>
        </is>
      </c>
    </row>
    <row r="17">
      <c r="A17" s="14" t="n">
        <v>13</v>
      </c>
      <c r="B17" s="15" t="inlineStr">
        <is>
          <t>乳清蛋白粉</t>
        </is>
      </c>
      <c r="C17" s="14" t="inlineStr">
        <is>
          <t>1 匙 30g</t>
        </is>
      </c>
      <c r="D17" s="14" t="n">
        <v>24</v>
      </c>
      <c r="E17" s="14" t="n">
        <v>1.5</v>
      </c>
      <c r="F17" s="14" t="n">
        <v>2</v>
      </c>
      <c r="G17" s="8">
        <f>D17*4+E17*9+F17*4</f>
        <v/>
      </c>
      <c r="H17" s="15" t="inlineStr">
        <is>
          <t>便利補充；訓練後可加</t>
        </is>
      </c>
    </row>
    <row r="18">
      <c r="A18" s="14" t="n">
        <v>14</v>
      </c>
      <c r="B18" s="15" t="inlineStr">
        <is>
          <t>白飯（熟）</t>
        </is>
      </c>
      <c r="C18" s="14" t="inlineStr">
        <is>
          <t>100g</t>
        </is>
      </c>
      <c r="D18" s="14" t="n">
        <v>2.6</v>
      </c>
      <c r="E18" s="14" t="n">
        <v>0.3</v>
      </c>
      <c r="F18" s="14" t="n">
        <v>28</v>
      </c>
      <c r="G18" s="8">
        <f>D18*4+E18*9+F18*4</f>
        <v/>
      </c>
      <c r="H18" s="15" t="inlineStr">
        <is>
          <t>訓練前後黃金碳水</t>
        </is>
      </c>
    </row>
    <row r="19">
      <c r="A19" s="14" t="n">
        <v>15</v>
      </c>
      <c r="B19" s="15" t="inlineStr">
        <is>
          <t>糙米飯（熟）</t>
        </is>
      </c>
      <c r="C19" s="14" t="inlineStr">
        <is>
          <t>100g</t>
        </is>
      </c>
      <c r="D19" s="14" t="n">
        <v>2.7</v>
      </c>
      <c r="E19" s="14" t="n">
        <v>0.9</v>
      </c>
      <c r="F19" s="14" t="n">
        <v>23</v>
      </c>
      <c r="G19" s="8">
        <f>D19*4+E19*9+F19*4</f>
        <v/>
      </c>
      <c r="H19" s="15" t="inlineStr">
        <is>
          <t>纖維更高</t>
        </is>
      </c>
    </row>
    <row r="20">
      <c r="A20" s="14" t="n">
        <v>16</v>
      </c>
      <c r="B20" s="15" t="inlineStr">
        <is>
          <t>地瓜（熟）</t>
        </is>
      </c>
      <c r="C20" s="14" t="inlineStr">
        <is>
          <t>100g</t>
        </is>
      </c>
      <c r="D20" s="14" t="n">
        <v>1.6</v>
      </c>
      <c r="E20" s="14" t="n">
        <v>0.1</v>
      </c>
      <c r="F20" s="14" t="n">
        <v>20</v>
      </c>
      <c r="G20" s="8">
        <f>D20*4+E20*9+F20*4</f>
        <v/>
      </c>
      <c r="H20" s="15" t="inlineStr">
        <is>
          <t>GI 中等，飽足感佳</t>
        </is>
      </c>
    </row>
    <row r="21">
      <c r="A21" s="14" t="n">
        <v>17</v>
      </c>
      <c r="B21" s="15" t="inlineStr">
        <is>
          <t>燕麥（生）</t>
        </is>
      </c>
      <c r="C21" s="14" t="inlineStr">
        <is>
          <t>40g 乾</t>
        </is>
      </c>
      <c r="D21" s="14" t="n">
        <v>5.4</v>
      </c>
      <c r="E21" s="14" t="n">
        <v>3</v>
      </c>
      <c r="F21" s="14" t="n">
        <v>25</v>
      </c>
      <c r="G21" s="8">
        <f>D21*4+E21*9+F21*4</f>
        <v/>
      </c>
      <c r="H21" s="15" t="inlineStr">
        <is>
          <t>早餐主食</t>
        </is>
      </c>
    </row>
    <row r="22">
      <c r="A22" s="14" t="n">
        <v>18</v>
      </c>
      <c r="B22" s="15" t="inlineStr">
        <is>
          <t>義大利麵（熟）</t>
        </is>
      </c>
      <c r="C22" s="14" t="inlineStr">
        <is>
          <t>100g</t>
        </is>
      </c>
      <c r="D22" s="14" t="n">
        <v>5</v>
      </c>
      <c r="E22" s="14" t="n">
        <v>1.1</v>
      </c>
      <c r="F22" s="14" t="n">
        <v>25</v>
      </c>
      <c r="G22" s="8">
        <f>D22*4+E22*9+F22*4</f>
        <v/>
      </c>
      <c r="H22" s="15" t="inlineStr">
        <is>
          <t>增量日好夥伴</t>
        </is>
      </c>
    </row>
    <row r="23">
      <c r="A23" s="14" t="n">
        <v>19</v>
      </c>
      <c r="B23" s="15" t="inlineStr">
        <is>
          <t>香蕉</t>
        </is>
      </c>
      <c r="C23" s="14" t="inlineStr">
        <is>
          <t>1 根中型</t>
        </is>
      </c>
      <c r="D23" s="14" t="n">
        <v>1.3</v>
      </c>
      <c r="E23" s="14" t="n">
        <v>0.4</v>
      </c>
      <c r="F23" s="14" t="n">
        <v>27</v>
      </c>
      <c r="G23" s="8">
        <f>D23*4+E23*9+F23*4</f>
        <v/>
      </c>
      <c r="H23" s="15" t="inlineStr">
        <is>
          <t>訓練前 30 分</t>
        </is>
      </c>
    </row>
    <row r="24">
      <c r="A24" s="14" t="n">
        <v>20</v>
      </c>
      <c r="B24" s="15" t="inlineStr">
        <is>
          <t>吐司（雜糧）</t>
        </is>
      </c>
      <c r="C24" s="14" t="inlineStr">
        <is>
          <t>1 片 30g</t>
        </is>
      </c>
      <c r="D24" s="14" t="n">
        <v>3</v>
      </c>
      <c r="E24" s="14" t="n">
        <v>1.5</v>
      </c>
      <c r="F24" s="14" t="n">
        <v>14</v>
      </c>
      <c r="G24" s="8">
        <f>D24*4+E24*9+F24*4</f>
        <v/>
      </c>
      <c r="H24" s="15" t="inlineStr">
        <is>
          <t>早餐快補</t>
        </is>
      </c>
    </row>
    <row r="25">
      <c r="A25" s="14" t="n">
        <v>21</v>
      </c>
      <c r="B25" s="15" t="inlineStr">
        <is>
          <t>橄欖油</t>
        </is>
      </c>
      <c r="C25" s="14" t="inlineStr">
        <is>
          <t>1 匙 10g</t>
        </is>
      </c>
      <c r="D25" s="14" t="n">
        <v>0</v>
      </c>
      <c r="E25" s="14" t="n">
        <v>10</v>
      </c>
      <c r="F25" s="14" t="n">
        <v>0</v>
      </c>
      <c r="G25" s="8">
        <f>D25*4+E25*9+F25*4</f>
        <v/>
      </c>
      <c r="H25" s="15" t="inlineStr">
        <is>
          <t>煎炒、淋醬</t>
        </is>
      </c>
    </row>
    <row r="26">
      <c r="A26" s="14" t="n">
        <v>22</v>
      </c>
      <c r="B26" s="15" t="inlineStr">
        <is>
          <t>酪梨</t>
        </is>
      </c>
      <c r="C26" s="14" t="inlineStr">
        <is>
          <t>1/2 顆 100g</t>
        </is>
      </c>
      <c r="D26" s="14" t="n">
        <v>2</v>
      </c>
      <c r="E26" s="14" t="n">
        <v>15</v>
      </c>
      <c r="F26" s="14" t="n">
        <v>9</v>
      </c>
      <c r="G26" s="8">
        <f>D26*4+E26*9+F26*4</f>
        <v/>
      </c>
      <c r="H26" s="15" t="inlineStr">
        <is>
          <t>好油脂 + 纖維</t>
        </is>
      </c>
    </row>
    <row r="27">
      <c r="A27" s="14" t="n">
        <v>23</v>
      </c>
      <c r="B27" s="15" t="inlineStr">
        <is>
          <t>綜合堅果</t>
        </is>
      </c>
      <c r="C27" s="14" t="inlineStr">
        <is>
          <t>30g</t>
        </is>
      </c>
      <c r="D27" s="14" t="n">
        <v>6</v>
      </c>
      <c r="E27" s="14" t="n">
        <v>18</v>
      </c>
      <c r="F27" s="14" t="n">
        <v>6</v>
      </c>
      <c r="G27" s="8">
        <f>D27*4+E27*9+F27*4</f>
        <v/>
      </c>
      <c r="H27" s="15" t="inlineStr">
        <is>
          <t>睡前小份避免過量</t>
        </is>
      </c>
    </row>
    <row r="28">
      <c r="A28" s="14" t="n">
        <v>24</v>
      </c>
      <c r="B28" s="15" t="inlineStr">
        <is>
          <t>起司（切達）</t>
        </is>
      </c>
      <c r="C28" s="14" t="inlineStr">
        <is>
          <t>30g</t>
        </is>
      </c>
      <c r="D28" s="14" t="n">
        <v>7</v>
      </c>
      <c r="E28" s="14" t="n">
        <v>9</v>
      </c>
      <c r="F28" s="14" t="n">
        <v>0.4</v>
      </c>
      <c r="G28" s="8">
        <f>D28*4+E28*9+F28*4</f>
        <v/>
      </c>
      <c r="H28" s="15" t="inlineStr">
        <is>
          <t>風味 + 鈣</t>
        </is>
      </c>
    </row>
    <row r="29">
      <c r="A29" s="14" t="n">
        <v>25</v>
      </c>
      <c r="B29" s="15" t="inlineStr">
        <is>
          <t>綠花椰菜</t>
        </is>
      </c>
      <c r="C29" s="14" t="inlineStr">
        <is>
          <t>100g</t>
        </is>
      </c>
      <c r="D29" s="14" t="n">
        <v>2.8</v>
      </c>
      <c r="E29" s="14" t="n">
        <v>0.4</v>
      </c>
      <c r="F29" s="14" t="n">
        <v>7</v>
      </c>
      <c r="G29" s="8">
        <f>D29*4+E29*9+F29*4</f>
        <v/>
      </c>
      <c r="H29" s="15" t="inlineStr">
        <is>
          <t>高纖 + 微量</t>
        </is>
      </c>
    </row>
    <row r="30">
      <c r="A30" s="14" t="n">
        <v>26</v>
      </c>
      <c r="B30" s="15" t="inlineStr">
        <is>
          <t>菠菜</t>
        </is>
      </c>
      <c r="C30" s="14" t="inlineStr">
        <is>
          <t>100g</t>
        </is>
      </c>
      <c r="D30" s="14" t="n">
        <v>2.9</v>
      </c>
      <c r="E30" s="14" t="n">
        <v>0.4</v>
      </c>
      <c r="F30" s="14" t="n">
        <v>3.6</v>
      </c>
      <c r="G30" s="8">
        <f>D30*4+E30*9+F30*4</f>
        <v/>
      </c>
      <c r="H30" s="15" t="inlineStr">
        <is>
          <t>鐵 + 葉酸</t>
        </is>
      </c>
    </row>
    <row r="31">
      <c r="A31" s="14" t="n">
        <v>27</v>
      </c>
      <c r="B31" s="15" t="inlineStr">
        <is>
          <t>番茄</t>
        </is>
      </c>
      <c r="C31" s="14" t="inlineStr">
        <is>
          <t>100g</t>
        </is>
      </c>
      <c r="D31" s="14" t="n">
        <v>0.9</v>
      </c>
      <c r="E31" s="14" t="n">
        <v>0.2</v>
      </c>
      <c r="F31" s="14" t="n">
        <v>3.9</v>
      </c>
      <c r="G31" s="8">
        <f>D31*4+E31*9+F31*4</f>
        <v/>
      </c>
      <c r="H31" s="15" t="inlineStr">
        <is>
          <t>茄紅素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5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4 週微週期進度檢核</t>
        </is>
      </c>
    </row>
    <row r="2">
      <c r="A2" s="2" t="inlineStr">
        <is>
          <t>累積 → 強化 → 巔峰 → Deload；第 4 週末重測 1RM 並更新『個人資料』。</t>
        </is>
      </c>
    </row>
    <row r="4" ht="32" customHeight="1">
      <c r="A4" s="12" t="inlineStr">
        <is>
          <t>#</t>
        </is>
      </c>
      <c r="B4" s="12" t="inlineStr">
        <is>
          <t>週次</t>
        </is>
      </c>
      <c r="C4" s="12" t="inlineStr">
        <is>
          <t>目標 / 動作要點</t>
        </is>
      </c>
      <c r="D4" s="12" t="inlineStr">
        <is>
          <t>強度調整</t>
        </is>
      </c>
      <c r="E4" s="12" t="inlineStr">
        <is>
          <t>容量調整</t>
        </is>
      </c>
      <c r="F4" s="12" t="inlineStr">
        <is>
          <t>完成？</t>
        </is>
      </c>
      <c r="G4" s="12" t="inlineStr">
        <is>
          <t>備註</t>
        </is>
      </c>
    </row>
    <row r="5">
      <c r="A5" s="14" t="n">
        <v>1</v>
      </c>
      <c r="B5" s="21" t="inlineStr">
        <is>
          <t>Week 1</t>
        </is>
      </c>
      <c r="C5" s="15" t="inlineStr">
        <is>
          <t>累積 (Accumulation)｜依表執行，建立技術節奏</t>
        </is>
      </c>
      <c r="D5" s="14" t="inlineStr">
        <is>
          <t>70-75% 1RM</t>
        </is>
      </c>
      <c r="E5" s="14" t="inlineStr">
        <is>
          <t>標準組數</t>
        </is>
      </c>
      <c r="F5" s="6" t="inlineStr">
        <is>
          <t>☐</t>
        </is>
      </c>
      <c r="G5" s="15" t="inlineStr"/>
    </row>
    <row r="6">
      <c r="A6" s="14" t="n">
        <v>2</v>
      </c>
      <c r="B6" s="21" t="inlineStr">
        <is>
          <t>Week 2</t>
        </is>
      </c>
      <c r="C6" s="15" t="inlineStr">
        <is>
          <t>強化 (Intensification)｜主動作 +2.5kg；次數靠下緣</t>
        </is>
      </c>
      <c r="D6" s="14" t="inlineStr">
        <is>
          <t>72-77.5% 1RM</t>
        </is>
      </c>
      <c r="E6" s="14" t="inlineStr">
        <is>
          <t>同組數</t>
        </is>
      </c>
      <c r="F6" s="6" t="inlineStr">
        <is>
          <t>☐</t>
        </is>
      </c>
      <c r="G6" s="15" t="inlineStr"/>
    </row>
    <row r="7">
      <c r="A7" s="14" t="n">
        <v>3</v>
      </c>
      <c r="B7" s="21" t="inlineStr">
        <is>
          <t>Week 3</t>
        </is>
      </c>
      <c r="C7" s="15" t="inlineStr">
        <is>
          <t>巔峰 (Peak)｜嘗試突破 RPE 9；主動作再 +2.5kg</t>
        </is>
      </c>
      <c r="D7" s="14" t="inlineStr">
        <is>
          <t>75-80% 1RM</t>
        </is>
      </c>
      <c r="E7" s="14" t="inlineStr">
        <is>
          <t>可加 1 組</t>
        </is>
      </c>
      <c r="F7" s="6" t="inlineStr">
        <is>
          <t>☐</t>
        </is>
      </c>
      <c r="G7" s="15" t="inlineStr"/>
    </row>
    <row r="8">
      <c r="A8" s="14" t="n">
        <v>4</v>
      </c>
      <c r="B8" s="21" t="inlineStr">
        <is>
          <t>Week 4</t>
        </is>
      </c>
      <c r="C8" s="15" t="inlineStr">
        <is>
          <t>減載 (Deload)｜強度 ↓ 60%；組數 -40%；主動恢復為主</t>
        </is>
      </c>
      <c r="D8" s="14" t="inlineStr">
        <is>
          <t>60% 1RM</t>
        </is>
      </c>
      <c r="E8" s="14" t="inlineStr">
        <is>
          <t>組數減 40%</t>
        </is>
      </c>
      <c r="F8" s="6" t="inlineStr">
        <is>
          <t>☐</t>
        </is>
      </c>
      <c r="G8" s="15" t="inlineStr">
        <is>
          <t>末日重測 1RM</t>
        </is>
      </c>
    </row>
    <row r="11" ht="22" customHeight="1">
      <c r="A11" s="3" t="inlineStr">
        <is>
          <t>■ 8 / 12 週里程碑</t>
        </is>
      </c>
    </row>
    <row r="12" ht="32" customHeight="1">
      <c r="A12" s="12" t="inlineStr"/>
      <c r="B12" s="12" t="inlineStr">
        <is>
          <t>里程碑</t>
        </is>
      </c>
      <c r="C12" s="12" t="inlineStr">
        <is>
          <t>檢核項目</t>
        </is>
      </c>
      <c r="D12" s="12" t="inlineStr">
        <is>
          <t>目前</t>
        </is>
      </c>
      <c r="E12" s="12" t="inlineStr">
        <is>
          <t>目標</t>
        </is>
      </c>
      <c r="F12" s="12" t="inlineStr">
        <is>
          <t>完成？</t>
        </is>
      </c>
      <c r="G12" s="12" t="inlineStr">
        <is>
          <t>備註</t>
        </is>
      </c>
    </row>
    <row r="13">
      <c r="B13" s="21" t="inlineStr">
        <is>
          <t>第 4 週末</t>
        </is>
      </c>
      <c r="C13" s="15" t="inlineStr">
        <is>
          <t>1RM 預估上升 5-10%</t>
        </is>
      </c>
      <c r="D13" s="15" t="inlineStr">
        <is>
          <t>重測 5RM × 1.15</t>
        </is>
      </c>
      <c r="E13" s="6" t="n"/>
      <c r="F13" s="6" t="n"/>
      <c r="G13" s="6" t="inlineStr">
        <is>
          <t>☐</t>
        </is>
      </c>
    </row>
    <row r="14">
      <c r="B14" s="21" t="inlineStr">
        <is>
          <t>第 8 週末</t>
        </is>
      </c>
      <c r="C14" s="15" t="inlineStr">
        <is>
          <t>體組成（DEXA / InBody）</t>
        </is>
      </c>
      <c r="D14" s="15" t="inlineStr">
        <is>
          <t>瘦體重 +0.5~1kg</t>
        </is>
      </c>
      <c r="E14" s="6" t="n"/>
      <c r="F14" s="6" t="n"/>
      <c r="G14" s="6" t="inlineStr">
        <is>
          <t>☐</t>
        </is>
      </c>
    </row>
    <row r="15">
      <c r="B15" s="21" t="inlineStr">
        <is>
          <t>第 12 週末</t>
        </is>
      </c>
      <c r="C15" s="15" t="inlineStr">
        <is>
          <t>重測 5RM / 8RM</t>
        </is>
      </c>
      <c r="D15" s="15" t="inlineStr">
        <is>
          <t>依新基準校正課表</t>
        </is>
      </c>
      <c r="E15" s="6" t="n"/>
      <c r="F15" s="6" t="n"/>
      <c r="G15" s="6" t="inlineStr">
        <is>
          <t>☐</t>
        </is>
      </c>
    </row>
  </sheetData>
  <mergeCells count="3">
    <mergeCell ref="A11:G11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2026-05-17T08:15:00Z</dcterms:created>
  <dcterms:modified xsi:type="dcterms:W3CDTF">2026-05-17T09:09:18Z</dcterms:modified>
</cp:coreProperties>
</file>